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vuhien/Desktop/20260326/"/>
    </mc:Choice>
  </mc:AlternateContent>
  <xr:revisionPtr revIDLastSave="0" documentId="13_ncr:1_{965C1D54-5834-8746-BA75-E7194D05CD8F}" xr6:coauthVersionLast="47" xr6:coauthVersionMax="47" xr10:uidLastSave="{00000000-0000-0000-0000-000000000000}"/>
  <bookViews>
    <workbookView xWindow="16800" yWindow="3580" windowWidth="21600" windowHeight="11300" xr2:uid="{90E1DCE1-7665-4D49-8580-410885E30459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05" i="1" l="1"/>
  <c r="D105" i="1"/>
  <c r="F106" i="1"/>
  <c r="F113" i="1"/>
  <c r="E112" i="1"/>
  <c r="D112" i="1"/>
  <c r="F111" i="1"/>
  <c r="E111" i="1"/>
  <c r="D111" i="1"/>
  <c r="E104" i="1"/>
  <c r="D104" i="1"/>
  <c r="E103" i="1"/>
  <c r="D103" i="1"/>
  <c r="F102" i="1"/>
  <c r="E102" i="1"/>
  <c r="D102" i="1"/>
  <c r="E101" i="1"/>
  <c r="D101" i="1"/>
  <c r="F107" i="1"/>
  <c r="F100" i="1"/>
  <c r="E100" i="1"/>
  <c r="D100" i="1"/>
  <c r="F99" i="1"/>
  <c r="E98" i="1"/>
  <c r="F98" i="1"/>
  <c r="D98" i="1"/>
  <c r="F92" i="1"/>
  <c r="E92" i="1"/>
  <c r="D92" i="1"/>
  <c r="E91" i="1"/>
  <c r="D91" i="1"/>
  <c r="F97" i="1"/>
  <c r="E97" i="1"/>
  <c r="D97" i="1"/>
  <c r="E90" i="1"/>
  <c r="D90" i="1"/>
  <c r="E88" i="1"/>
  <c r="D88" i="1"/>
  <c r="F87" i="1"/>
  <c r="E87" i="1"/>
  <c r="D87" i="1"/>
  <c r="F93" i="1"/>
  <c r="E86" i="1"/>
  <c r="D86" i="1"/>
  <c r="E89" i="1"/>
  <c r="D89" i="1"/>
  <c r="F88" i="1"/>
  <c r="D84" i="1"/>
  <c r="E84" i="1"/>
  <c r="F84" i="1"/>
  <c r="F85" i="1"/>
  <c r="F78" i="1"/>
  <c r="E77" i="1"/>
  <c r="D77" i="1"/>
  <c r="E76" i="1"/>
  <c r="D76" i="1"/>
  <c r="E75" i="1"/>
  <c r="D75" i="1"/>
  <c r="F83" i="1"/>
  <c r="E83" i="1"/>
  <c r="D83" i="1"/>
  <c r="E74" i="1"/>
  <c r="D74" i="1"/>
  <c r="E73" i="1"/>
  <c r="D73" i="1"/>
  <c r="F79" i="1"/>
  <c r="E72" i="1"/>
  <c r="D72" i="1"/>
  <c r="F74" i="1"/>
  <c r="E70" i="1"/>
  <c r="D70" i="1"/>
  <c r="F70" i="1"/>
  <c r="F71" i="1"/>
  <c r="F64" i="1"/>
  <c r="E64" i="1"/>
  <c r="D64" i="1"/>
  <c r="E63" i="1"/>
  <c r="D63" i="1"/>
  <c r="F62" i="1"/>
  <c r="D62" i="1"/>
  <c r="E61" i="1"/>
  <c r="D61" i="1"/>
  <c r="F69" i="1"/>
  <c r="E69" i="1"/>
  <c r="D69" i="1"/>
  <c r="F60" i="1"/>
  <c r="E60" i="1"/>
  <c r="D60" i="1"/>
  <c r="E59" i="1"/>
  <c r="D59" i="1"/>
  <c r="F65" i="1"/>
  <c r="D58" i="1"/>
  <c r="E58" i="1"/>
  <c r="F58" i="1"/>
  <c r="E62" i="1"/>
  <c r="F55" i="1"/>
  <c r="F51" i="1"/>
  <c r="F48" i="1"/>
  <c r="E48" i="1"/>
  <c r="D48" i="1"/>
  <c r="F47" i="1"/>
  <c r="E47" i="1"/>
  <c r="D47" i="1"/>
  <c r="F46" i="1"/>
  <c r="E46" i="1"/>
  <c r="D46" i="1"/>
  <c r="F45" i="1"/>
  <c r="E45" i="1"/>
  <c r="D45" i="1"/>
  <c r="F44" i="1"/>
  <c r="E44" i="1"/>
  <c r="D44" i="1"/>
  <c r="F49" i="1"/>
  <c r="E49" i="1"/>
  <c r="D49" i="1"/>
  <c r="D50" i="1"/>
  <c r="E50" i="1"/>
  <c r="F50" i="1"/>
  <c r="F57" i="1"/>
  <c r="F56" i="1"/>
  <c r="F30" i="1"/>
  <c r="E30" i="1"/>
  <c r="D30" i="1"/>
  <c r="F37" i="1"/>
  <c r="F31" i="1"/>
  <c r="E31" i="1"/>
  <c r="D31" i="1"/>
  <c r="F32" i="1"/>
  <c r="E32" i="1"/>
  <c r="D32" i="1"/>
  <c r="E33" i="1"/>
  <c r="F33" i="1"/>
  <c r="D33" i="1"/>
  <c r="F34" i="1"/>
  <c r="E34" i="1"/>
  <c r="D34" i="1"/>
  <c r="F41" i="1"/>
  <c r="E35" i="1"/>
  <c r="D35" i="1"/>
  <c r="F35" i="1"/>
  <c r="E36" i="1"/>
  <c r="D36" i="1"/>
  <c r="F36" i="1"/>
  <c r="F43" i="1"/>
  <c r="F42" i="1"/>
  <c r="F16" i="1"/>
  <c r="E16" i="1"/>
  <c r="D16" i="1"/>
  <c r="F23" i="1"/>
  <c r="F17" i="1"/>
  <c r="E17" i="1"/>
  <c r="D17" i="1"/>
  <c r="F18" i="1"/>
  <c r="E18" i="1"/>
  <c r="D18" i="1"/>
  <c r="D19" i="1"/>
  <c r="E19" i="1"/>
  <c r="F20" i="1"/>
  <c r="E20" i="1"/>
  <c r="D20" i="1"/>
  <c r="F27" i="1"/>
  <c r="F22" i="1"/>
  <c r="E22" i="1"/>
  <c r="D22" i="1"/>
  <c r="E21" i="1"/>
  <c r="D21" i="1"/>
  <c r="F21" i="1"/>
  <c r="F29" i="1"/>
  <c r="F28" i="1"/>
  <c r="F8" i="1"/>
  <c r="E8" i="1"/>
  <c r="D8" i="1"/>
  <c r="F7" i="1"/>
  <c r="E7" i="1"/>
  <c r="D7" i="1"/>
  <c r="F15" i="1"/>
  <c r="F14" i="1"/>
  <c r="F5" i="1"/>
  <c r="E5" i="1"/>
  <c r="D5" i="1"/>
  <c r="F6" i="1"/>
  <c r="E6" i="1"/>
  <c r="F13" i="1"/>
  <c r="D6" i="1"/>
  <c r="F4" i="1"/>
  <c r="E4" i="1"/>
  <c r="D4" i="1"/>
  <c r="F3" i="1"/>
  <c r="E3" i="1"/>
  <c r="D3" i="1"/>
  <c r="F2" i="1"/>
  <c r="E2" i="1"/>
  <c r="D2" i="1"/>
</calcChain>
</file>

<file path=xl/sharedStrings.xml><?xml version="1.0" encoding="utf-8"?>
<sst xmlns="http://schemas.openxmlformats.org/spreadsheetml/2006/main" count="342" uniqueCount="23">
  <si>
    <t>vial</t>
  </si>
  <si>
    <t>time</t>
  </si>
  <si>
    <t>antibiotic</t>
  </si>
  <si>
    <t>M1</t>
  </si>
  <si>
    <t>0h</t>
  </si>
  <si>
    <t>KAN</t>
  </si>
  <si>
    <t>COL</t>
  </si>
  <si>
    <t>M2</t>
  </si>
  <si>
    <t>M3</t>
  </si>
  <si>
    <t>M4</t>
  </si>
  <si>
    <t>M5</t>
  </si>
  <si>
    <t>M6</t>
  </si>
  <si>
    <t>M7</t>
  </si>
  <si>
    <t>22h</t>
  </si>
  <si>
    <t>46h</t>
  </si>
  <si>
    <t>70h</t>
  </si>
  <si>
    <t>94h</t>
  </si>
  <si>
    <t>118h</t>
  </si>
  <si>
    <t>142h</t>
  </si>
  <si>
    <t>166h</t>
  </si>
  <si>
    <t>PL</t>
  </si>
  <si>
    <t>PM</t>
  </si>
  <si>
    <t>LM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</si>
</sst>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8B656-94DD-4A46-A15D-F4805EB4FF3B}">
  <dimension ref="A1:F113"/>
  <sheetViews>
    <sheetView tabSelected="1" workbookViewId="0">
      <selection activeCell="F1" sqref="F1"/>
    </sheetView>
  </sheetViews>
  <sheetFormatPr baseColWidth="10" defaultRowHeight="15" x14ac:dyDescent="0.2"/>
  <cols>
    <col min="4" max="4" width="11.5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20</v>
      </c>
      <c r="E1" t="s">
        <v>21</v>
      </c>
      <c r="F1" t="s">
        <v>22</v>
      </c>
    </row>
    <row r="2" spans="1:6" x14ac:dyDescent="0.2">
      <c r="A2" t="s">
        <v>3</v>
      </c>
      <c r="B2" t="s">
        <v>4</v>
      </c>
      <c r="C2" t="s">
        <v>5</v>
      </c>
      <c r="D2">
        <f>(49*(10^4))/0.01</f>
        <v>49000000</v>
      </c>
      <c r="E2">
        <f>(46*(10^4))/0.01</f>
        <v>46000000</v>
      </c>
      <c r="F2">
        <f>(44*(10^4))/0.01</f>
        <v>44000000</v>
      </c>
    </row>
    <row r="3" spans="1:6" x14ac:dyDescent="0.2">
      <c r="A3" t="s">
        <v>7</v>
      </c>
      <c r="B3" t="s">
        <v>4</v>
      </c>
      <c r="C3" t="s">
        <v>5</v>
      </c>
      <c r="D3">
        <f>(10*(10^5))/0.01</f>
        <v>100000000</v>
      </c>
      <c r="E3">
        <f>(6*(10^5))/0.01</f>
        <v>60000000</v>
      </c>
      <c r="F3">
        <f>(13*(10^5))/0.01</f>
        <v>130000000</v>
      </c>
    </row>
    <row r="4" spans="1:6" x14ac:dyDescent="0.2">
      <c r="A4" t="s">
        <v>8</v>
      </c>
      <c r="B4" t="s">
        <v>4</v>
      </c>
      <c r="C4" t="s">
        <v>5</v>
      </c>
      <c r="D4">
        <f>(50*(10^4))/0.01</f>
        <v>50000000</v>
      </c>
      <c r="E4">
        <f>(53*(10^4))/0.01</f>
        <v>53000000</v>
      </c>
      <c r="F4">
        <f>(60*(10^4))/0.01</f>
        <v>60000000</v>
      </c>
    </row>
    <row r="5" spans="1:6" x14ac:dyDescent="0.2">
      <c r="A5" t="s">
        <v>9</v>
      </c>
      <c r="B5" t="s">
        <v>4</v>
      </c>
      <c r="C5" t="s">
        <v>5</v>
      </c>
      <c r="D5">
        <f>(7*(10^5))/0.01</f>
        <v>70000000</v>
      </c>
      <c r="E5">
        <f>(6*(10^5))/0.01</f>
        <v>60000000</v>
      </c>
      <c r="F5">
        <f>(10*(10^5))/0.01</f>
        <v>100000000</v>
      </c>
    </row>
    <row r="6" spans="1:6" x14ac:dyDescent="0.2">
      <c r="A6" t="s">
        <v>10</v>
      </c>
      <c r="B6" t="s">
        <v>4</v>
      </c>
      <c r="C6" t="s">
        <v>5</v>
      </c>
      <c r="D6">
        <f>(4*(10^5))/0.01</f>
        <v>40000000</v>
      </c>
      <c r="E6">
        <f>(3*(10^5))/0.01</f>
        <v>30000000</v>
      </c>
      <c r="F6">
        <f>(13*(10^5))/0.01</f>
        <v>130000000</v>
      </c>
    </row>
    <row r="7" spans="1:6" x14ac:dyDescent="0.2">
      <c r="A7" t="s">
        <v>11</v>
      </c>
      <c r="B7" t="s">
        <v>4</v>
      </c>
      <c r="C7" t="s">
        <v>5</v>
      </c>
      <c r="D7">
        <f>(42*(10^4))/0.01</f>
        <v>42000000</v>
      </c>
      <c r="E7">
        <f>(5*(10^5))/0.01</f>
        <v>50000000</v>
      </c>
      <c r="F7">
        <f>(12*(10^5))/0.01</f>
        <v>120000000</v>
      </c>
    </row>
    <row r="8" spans="1:6" x14ac:dyDescent="0.2">
      <c r="A8" t="s">
        <v>12</v>
      </c>
      <c r="B8" t="s">
        <v>4</v>
      </c>
      <c r="C8" t="s">
        <v>5</v>
      </c>
      <c r="D8">
        <f>(6*(10^5))/0.01</f>
        <v>60000000</v>
      </c>
      <c r="E8">
        <f>(4*(10^5))/0.01</f>
        <v>40000000</v>
      </c>
      <c r="F8">
        <f>(9*(10^5))/0.01</f>
        <v>90000000</v>
      </c>
    </row>
    <row r="9" spans="1:6" x14ac:dyDescent="0.2">
      <c r="A9" t="s">
        <v>3</v>
      </c>
      <c r="B9" t="s">
        <v>4</v>
      </c>
      <c r="C9" t="s">
        <v>6</v>
      </c>
      <c r="D9">
        <v>0</v>
      </c>
      <c r="E9">
        <v>0</v>
      </c>
      <c r="F9">
        <v>0</v>
      </c>
    </row>
    <row r="10" spans="1:6" x14ac:dyDescent="0.2">
      <c r="A10" t="s">
        <v>7</v>
      </c>
      <c r="B10" t="s">
        <v>4</v>
      </c>
      <c r="C10" t="s">
        <v>6</v>
      </c>
      <c r="D10">
        <v>0</v>
      </c>
      <c r="E10">
        <v>0</v>
      </c>
      <c r="F10">
        <v>0</v>
      </c>
    </row>
    <row r="11" spans="1:6" x14ac:dyDescent="0.2">
      <c r="A11" t="s">
        <v>8</v>
      </c>
      <c r="B11" t="s">
        <v>4</v>
      </c>
      <c r="C11" t="s">
        <v>6</v>
      </c>
      <c r="D11">
        <v>0</v>
      </c>
      <c r="E11">
        <v>0</v>
      </c>
      <c r="F11">
        <v>0</v>
      </c>
    </row>
    <row r="12" spans="1:6" x14ac:dyDescent="0.2">
      <c r="A12" t="s">
        <v>9</v>
      </c>
      <c r="B12" t="s">
        <v>4</v>
      </c>
      <c r="C12" t="s">
        <v>6</v>
      </c>
      <c r="D12">
        <v>0</v>
      </c>
      <c r="E12">
        <v>0</v>
      </c>
      <c r="F12">
        <v>0</v>
      </c>
    </row>
    <row r="13" spans="1:6" x14ac:dyDescent="0.2">
      <c r="A13" t="s">
        <v>10</v>
      </c>
      <c r="B13" t="s">
        <v>4</v>
      </c>
      <c r="C13" t="s">
        <v>6</v>
      </c>
      <c r="D13">
        <v>0</v>
      </c>
      <c r="E13">
        <v>0</v>
      </c>
      <c r="F13">
        <f>(101*(10^4))/0.01</f>
        <v>101000000</v>
      </c>
    </row>
    <row r="14" spans="1:6" x14ac:dyDescent="0.2">
      <c r="A14" t="s">
        <v>11</v>
      </c>
      <c r="B14" t="s">
        <v>4</v>
      </c>
      <c r="C14" t="s">
        <v>6</v>
      </c>
      <c r="D14">
        <v>0</v>
      </c>
      <c r="E14">
        <v>0</v>
      </c>
      <c r="F14">
        <f>(126*(10^4))/0.01</f>
        <v>126000000</v>
      </c>
    </row>
    <row r="15" spans="1:6" x14ac:dyDescent="0.2">
      <c r="A15" t="s">
        <v>12</v>
      </c>
      <c r="B15" t="s">
        <v>4</v>
      </c>
      <c r="C15" t="s">
        <v>6</v>
      </c>
      <c r="D15">
        <v>0</v>
      </c>
      <c r="E15">
        <v>0</v>
      </c>
      <c r="F15">
        <f>(107*(10^4))/0.01</f>
        <v>107000000</v>
      </c>
    </row>
    <row r="16" spans="1:6" x14ac:dyDescent="0.2">
      <c r="A16" t="s">
        <v>3</v>
      </c>
      <c r="B16" t="s">
        <v>13</v>
      </c>
      <c r="C16" t="s">
        <v>5</v>
      </c>
      <c r="D16">
        <f>(23*(10^4))/0.01</f>
        <v>23000000</v>
      </c>
      <c r="E16">
        <f>(2*(10^4))/0.01</f>
        <v>2000000</v>
      </c>
      <c r="F16">
        <f>(8*(10^4))/0.01</f>
        <v>8000000</v>
      </c>
    </row>
    <row r="17" spans="1:6" x14ac:dyDescent="0.2">
      <c r="A17" t="s">
        <v>7</v>
      </c>
      <c r="B17" t="s">
        <v>13</v>
      </c>
      <c r="C17" t="s">
        <v>5</v>
      </c>
      <c r="D17">
        <f>(8*(10^5))/0.01</f>
        <v>80000000</v>
      </c>
      <c r="E17">
        <f>(8*(10^5))/0.01</f>
        <v>80000000</v>
      </c>
      <c r="F17">
        <f>(5*(10^5))/0.01</f>
        <v>50000000</v>
      </c>
    </row>
    <row r="18" spans="1:6" x14ac:dyDescent="0.2">
      <c r="A18" t="s">
        <v>8</v>
      </c>
      <c r="B18" t="s">
        <v>13</v>
      </c>
      <c r="C18" t="s">
        <v>5</v>
      </c>
      <c r="D18">
        <f>(44*(10^4))/0.01</f>
        <v>44000000</v>
      </c>
      <c r="E18">
        <f>(23*(10^4))/0.01</f>
        <v>23000000</v>
      </c>
      <c r="F18">
        <f>(20*(10^4))/0.01</f>
        <v>20000000</v>
      </c>
    </row>
    <row r="19" spans="1:6" x14ac:dyDescent="0.2">
      <c r="A19" t="s">
        <v>9</v>
      </c>
      <c r="B19" t="s">
        <v>13</v>
      </c>
      <c r="C19" t="s">
        <v>5</v>
      </c>
      <c r="D19">
        <f>(23*(10^4))/0.01</f>
        <v>23000000</v>
      </c>
      <c r="E19">
        <f>(26*(10^3))/0.01</f>
        <v>2600000</v>
      </c>
      <c r="F19">
        <v>0</v>
      </c>
    </row>
    <row r="20" spans="1:6" x14ac:dyDescent="0.2">
      <c r="A20" t="s">
        <v>10</v>
      </c>
      <c r="B20" t="s">
        <v>13</v>
      </c>
      <c r="C20" t="s">
        <v>5</v>
      </c>
      <c r="D20">
        <f>(38*(10^4))/0.01</f>
        <v>38000000</v>
      </c>
      <c r="E20">
        <f>(35*(10^4))/0.01</f>
        <v>35000000</v>
      </c>
      <c r="F20">
        <f>(25*(10^4))/0.01</f>
        <v>25000000</v>
      </c>
    </row>
    <row r="21" spans="1:6" x14ac:dyDescent="0.2">
      <c r="A21" t="s">
        <v>11</v>
      </c>
      <c r="B21" t="s">
        <v>13</v>
      </c>
      <c r="C21" t="s">
        <v>5</v>
      </c>
      <c r="D21">
        <f>(27*(10^4))/0.01</f>
        <v>27000000</v>
      </c>
      <c r="E21">
        <f>(20*(10^5))/0.01</f>
        <v>200000000</v>
      </c>
      <c r="F21">
        <f>(10*(10^4))/0.01</f>
        <v>10000000</v>
      </c>
    </row>
    <row r="22" spans="1:6" x14ac:dyDescent="0.2">
      <c r="A22" t="s">
        <v>12</v>
      </c>
      <c r="B22" t="s">
        <v>13</v>
      </c>
      <c r="C22" t="s">
        <v>5</v>
      </c>
      <c r="D22">
        <f>(5*(10^4))/0.01</f>
        <v>5000000</v>
      </c>
      <c r="E22">
        <f>(2*(10^4))/0.01</f>
        <v>2000000</v>
      </c>
      <c r="F22">
        <f>(48*(10^4))/0.01</f>
        <v>48000000</v>
      </c>
    </row>
    <row r="23" spans="1:6" x14ac:dyDescent="0.2">
      <c r="A23" t="s">
        <v>3</v>
      </c>
      <c r="B23" t="s">
        <v>13</v>
      </c>
      <c r="C23" t="s">
        <v>6</v>
      </c>
      <c r="D23">
        <v>0</v>
      </c>
      <c r="E23">
        <v>0</v>
      </c>
      <c r="F23">
        <f>(81*(10^3))/0.01</f>
        <v>8100000</v>
      </c>
    </row>
    <row r="24" spans="1:6" x14ac:dyDescent="0.2">
      <c r="A24" t="s">
        <v>7</v>
      </c>
      <c r="B24" t="s">
        <v>13</v>
      </c>
      <c r="C24" t="s">
        <v>6</v>
      </c>
      <c r="D24">
        <v>0</v>
      </c>
      <c r="E24">
        <v>0</v>
      </c>
      <c r="F24">
        <v>0</v>
      </c>
    </row>
    <row r="25" spans="1:6" x14ac:dyDescent="0.2">
      <c r="A25" t="s">
        <v>8</v>
      </c>
      <c r="B25" t="s">
        <v>13</v>
      </c>
      <c r="C25" t="s">
        <v>6</v>
      </c>
      <c r="D25">
        <v>0</v>
      </c>
      <c r="E25">
        <v>0</v>
      </c>
      <c r="F25">
        <v>0</v>
      </c>
    </row>
    <row r="26" spans="1:6" x14ac:dyDescent="0.2">
      <c r="A26" t="s">
        <v>9</v>
      </c>
      <c r="B26" t="s">
        <v>13</v>
      </c>
      <c r="C26" t="s">
        <v>6</v>
      </c>
      <c r="D26">
        <v>0</v>
      </c>
      <c r="E26">
        <v>0</v>
      </c>
      <c r="F26">
        <v>0</v>
      </c>
    </row>
    <row r="27" spans="1:6" x14ac:dyDescent="0.2">
      <c r="A27" t="s">
        <v>10</v>
      </c>
      <c r="B27" t="s">
        <v>13</v>
      </c>
      <c r="C27" t="s">
        <v>6</v>
      </c>
      <c r="D27">
        <v>0</v>
      </c>
      <c r="E27">
        <v>0</v>
      </c>
      <c r="F27">
        <f>(135*(10^3))/0.01</f>
        <v>13500000</v>
      </c>
    </row>
    <row r="28" spans="1:6" x14ac:dyDescent="0.2">
      <c r="A28" t="s">
        <v>11</v>
      </c>
      <c r="B28" t="s">
        <v>13</v>
      </c>
      <c r="C28" t="s">
        <v>6</v>
      </c>
      <c r="D28">
        <v>0</v>
      </c>
      <c r="E28">
        <v>0</v>
      </c>
      <c r="F28">
        <f>(69*(10^4))/0.01</f>
        <v>69000000</v>
      </c>
    </row>
    <row r="29" spans="1:6" x14ac:dyDescent="0.2">
      <c r="A29" t="s">
        <v>12</v>
      </c>
      <c r="B29" t="s">
        <v>13</v>
      </c>
      <c r="C29" t="s">
        <v>6</v>
      </c>
      <c r="D29">
        <v>0</v>
      </c>
      <c r="E29">
        <v>0</v>
      </c>
      <c r="F29">
        <f>(61*(10^4))/0.01</f>
        <v>61000000</v>
      </c>
    </row>
    <row r="30" spans="1:6" x14ac:dyDescent="0.2">
      <c r="A30" t="s">
        <v>3</v>
      </c>
      <c r="B30" t="s">
        <v>14</v>
      </c>
      <c r="C30" t="s">
        <v>5</v>
      </c>
      <c r="D30" s="1">
        <f>(74*(10^3))/0.01</f>
        <v>7400000</v>
      </c>
      <c r="E30" s="1">
        <f>(90*(10^3))/0.01</f>
        <v>9000000</v>
      </c>
      <c r="F30" s="1">
        <f>(57*(10^3))/0.01</f>
        <v>5700000</v>
      </c>
    </row>
    <row r="31" spans="1:6" x14ac:dyDescent="0.2">
      <c r="A31" t="s">
        <v>7</v>
      </c>
      <c r="B31" t="s">
        <v>14</v>
      </c>
      <c r="C31" t="s">
        <v>5</v>
      </c>
      <c r="D31" s="1">
        <f>(7*(10^5))/0.01</f>
        <v>70000000</v>
      </c>
      <c r="E31" s="1">
        <f>(6*(10^5))/0.01</f>
        <v>60000000</v>
      </c>
      <c r="F31" s="1">
        <f>(24*(10^4))/0.01</f>
        <v>24000000</v>
      </c>
    </row>
    <row r="32" spans="1:6" x14ac:dyDescent="0.2">
      <c r="A32" t="s">
        <v>8</v>
      </c>
      <c r="B32" t="s">
        <v>14</v>
      </c>
      <c r="C32" t="s">
        <v>5</v>
      </c>
      <c r="D32" s="1">
        <f>(4*(10^5))/0.01</f>
        <v>40000000</v>
      </c>
      <c r="E32" s="1">
        <f>(5*(10^5))/0.01</f>
        <v>50000000</v>
      </c>
      <c r="F32" s="1">
        <f>(1*(10^5))/0.01</f>
        <v>10000000</v>
      </c>
    </row>
    <row r="33" spans="1:6" x14ac:dyDescent="0.2">
      <c r="A33" t="s">
        <v>9</v>
      </c>
      <c r="B33" t="s">
        <v>14</v>
      </c>
      <c r="C33" t="s">
        <v>5</v>
      </c>
      <c r="D33" s="1">
        <f>(14*(10^4))/0.01</f>
        <v>14000000</v>
      </c>
      <c r="E33" s="1">
        <f>(16*(10^3))/0.01</f>
        <v>1600000</v>
      </c>
      <c r="F33" s="1">
        <f>(1*(10^3))/0.01</f>
        <v>100000</v>
      </c>
    </row>
    <row r="34" spans="1:6" x14ac:dyDescent="0.2">
      <c r="A34" t="s">
        <v>10</v>
      </c>
      <c r="B34" t="s">
        <v>14</v>
      </c>
      <c r="C34" t="s">
        <v>5</v>
      </c>
      <c r="D34" s="1">
        <f>(22*(10^4))/0.01</f>
        <v>22000000</v>
      </c>
      <c r="E34" s="1">
        <f>(14*(10^4))/0.01</f>
        <v>14000000</v>
      </c>
      <c r="F34" s="1">
        <f>(9*(10^4))/0.01</f>
        <v>9000000</v>
      </c>
    </row>
    <row r="35" spans="1:6" x14ac:dyDescent="0.2">
      <c r="A35" t="s">
        <v>11</v>
      </c>
      <c r="B35" t="s">
        <v>14</v>
      </c>
      <c r="C35" t="s">
        <v>5</v>
      </c>
      <c r="D35" s="1">
        <f>(41*(10^4))/0.01</f>
        <v>41000000</v>
      </c>
      <c r="E35" s="1">
        <f>(6*(10^5))/0.01</f>
        <v>60000000</v>
      </c>
      <c r="F35" s="1">
        <f>(54*(10^4))/0.01</f>
        <v>54000000</v>
      </c>
    </row>
    <row r="36" spans="1:6" x14ac:dyDescent="0.2">
      <c r="A36" t="s">
        <v>12</v>
      </c>
      <c r="B36" t="s">
        <v>14</v>
      </c>
      <c r="C36" t="s">
        <v>5</v>
      </c>
      <c r="D36" s="1">
        <f>(9*(10^3))/0.01</f>
        <v>900000</v>
      </c>
      <c r="E36" s="1">
        <f>(2*(10^3))/0.01</f>
        <v>200000</v>
      </c>
      <c r="F36" s="1">
        <f>(31*(10^4))/0.01</f>
        <v>31000000</v>
      </c>
    </row>
    <row r="37" spans="1:6" x14ac:dyDescent="0.2">
      <c r="A37" t="s">
        <v>3</v>
      </c>
      <c r="B37" t="s">
        <v>14</v>
      </c>
      <c r="C37" t="s">
        <v>6</v>
      </c>
      <c r="D37" s="1">
        <v>0</v>
      </c>
      <c r="E37" s="1">
        <v>0</v>
      </c>
      <c r="F37" s="1">
        <f>(68*(10^3))/0.01</f>
        <v>6800000</v>
      </c>
    </row>
    <row r="38" spans="1:6" x14ac:dyDescent="0.2">
      <c r="A38" t="s">
        <v>7</v>
      </c>
      <c r="B38" t="s">
        <v>14</v>
      </c>
      <c r="C38" t="s">
        <v>6</v>
      </c>
      <c r="D38" s="1">
        <v>0</v>
      </c>
      <c r="E38" s="1">
        <v>0</v>
      </c>
      <c r="F38" s="1">
        <v>0</v>
      </c>
    </row>
    <row r="39" spans="1:6" x14ac:dyDescent="0.2">
      <c r="A39" t="s">
        <v>8</v>
      </c>
      <c r="B39" t="s">
        <v>14</v>
      </c>
      <c r="C39" t="s">
        <v>6</v>
      </c>
      <c r="D39" s="1">
        <v>0</v>
      </c>
      <c r="E39" s="1">
        <v>0</v>
      </c>
      <c r="F39" s="1">
        <v>0</v>
      </c>
    </row>
    <row r="40" spans="1:6" x14ac:dyDescent="0.2">
      <c r="A40" t="s">
        <v>9</v>
      </c>
      <c r="B40" t="s">
        <v>14</v>
      </c>
      <c r="C40" t="s">
        <v>6</v>
      </c>
      <c r="D40" s="1">
        <v>0</v>
      </c>
      <c r="E40" s="1">
        <v>0</v>
      </c>
      <c r="F40" s="1">
        <v>0</v>
      </c>
    </row>
    <row r="41" spans="1:6" x14ac:dyDescent="0.2">
      <c r="A41" t="s">
        <v>10</v>
      </c>
      <c r="B41" t="s">
        <v>14</v>
      </c>
      <c r="C41" t="s">
        <v>6</v>
      </c>
      <c r="D41" s="1">
        <v>0</v>
      </c>
      <c r="E41" s="1">
        <v>0</v>
      </c>
      <c r="F41" s="1">
        <f>(84*(10^3))/0.01</f>
        <v>8400000</v>
      </c>
    </row>
    <row r="42" spans="1:6" x14ac:dyDescent="0.2">
      <c r="A42" t="s">
        <v>11</v>
      </c>
      <c r="B42" t="s">
        <v>14</v>
      </c>
      <c r="C42" t="s">
        <v>6</v>
      </c>
      <c r="D42" s="1">
        <v>0</v>
      </c>
      <c r="E42" s="1">
        <v>0</v>
      </c>
      <c r="F42" s="1">
        <f>(52*(10^4))/0.01</f>
        <v>52000000</v>
      </c>
    </row>
    <row r="43" spans="1:6" x14ac:dyDescent="0.2">
      <c r="A43" t="s">
        <v>12</v>
      </c>
      <c r="B43" t="s">
        <v>14</v>
      </c>
      <c r="C43" t="s">
        <v>6</v>
      </c>
      <c r="D43" s="1">
        <v>0</v>
      </c>
      <c r="E43" s="1">
        <v>0</v>
      </c>
      <c r="F43" s="1">
        <f>(29*(10^4))/0.01</f>
        <v>29000000</v>
      </c>
    </row>
    <row r="44" spans="1:6" x14ac:dyDescent="0.2">
      <c r="A44" t="s">
        <v>3</v>
      </c>
      <c r="B44" t="s">
        <v>15</v>
      </c>
      <c r="C44" t="s">
        <v>5</v>
      </c>
      <c r="D44" s="1">
        <f>(8*(10^4))/0.01</f>
        <v>8000000</v>
      </c>
      <c r="E44" s="1">
        <f>(5*(10^4))/0.01</f>
        <v>5000000</v>
      </c>
      <c r="F44" s="1">
        <f>(4*(10^4))/0.01</f>
        <v>4000000</v>
      </c>
    </row>
    <row r="45" spans="1:6" x14ac:dyDescent="0.2">
      <c r="A45" t="s">
        <v>7</v>
      </c>
      <c r="B45" t="s">
        <v>15</v>
      </c>
      <c r="C45" t="s">
        <v>5</v>
      </c>
      <c r="D45" s="1">
        <f>(18*(10^5))/0.01</f>
        <v>180000000</v>
      </c>
      <c r="E45" s="1">
        <f>(24*(10^5))/0.01</f>
        <v>240000000</v>
      </c>
      <c r="F45" s="1">
        <f>(1*(10^5))/0.01</f>
        <v>10000000</v>
      </c>
    </row>
    <row r="46" spans="1:6" x14ac:dyDescent="0.2">
      <c r="A46" t="s">
        <v>8</v>
      </c>
      <c r="B46" t="s">
        <v>15</v>
      </c>
      <c r="C46" t="s">
        <v>5</v>
      </c>
      <c r="D46" s="1">
        <f>(12*(10^5))/0.01</f>
        <v>120000000</v>
      </c>
      <c r="E46" s="1">
        <f>(8*(10^5))/0.01</f>
        <v>80000000</v>
      </c>
      <c r="F46" s="1">
        <f>(1*(10^5))/0.01</f>
        <v>10000000</v>
      </c>
    </row>
    <row r="47" spans="1:6" x14ac:dyDescent="0.2">
      <c r="A47" t="s">
        <v>9</v>
      </c>
      <c r="B47" t="s">
        <v>15</v>
      </c>
      <c r="C47" t="s">
        <v>5</v>
      </c>
      <c r="D47" s="1">
        <f>(40*(10^3))/0.01</f>
        <v>4000000</v>
      </c>
      <c r="E47" s="1">
        <f>(9*(10^3))/0.01</f>
        <v>900000</v>
      </c>
      <c r="F47" s="1">
        <f>(1*(10^3))/0.01</f>
        <v>100000</v>
      </c>
    </row>
    <row r="48" spans="1:6" x14ac:dyDescent="0.2">
      <c r="A48" t="s">
        <v>10</v>
      </c>
      <c r="B48" t="s">
        <v>15</v>
      </c>
      <c r="C48" t="s">
        <v>5</v>
      </c>
      <c r="D48" s="1">
        <f>(10*(10^4))/0.01</f>
        <v>10000000</v>
      </c>
      <c r="E48" s="1">
        <f>(4*(10^4))/0.01</f>
        <v>4000000</v>
      </c>
      <c r="F48" s="1">
        <f>(6*(10^4))/0.01</f>
        <v>6000000</v>
      </c>
    </row>
    <row r="49" spans="1:6" x14ac:dyDescent="0.2">
      <c r="A49" t="s">
        <v>11</v>
      </c>
      <c r="B49" t="s">
        <v>15</v>
      </c>
      <c r="C49" t="s">
        <v>5</v>
      </c>
      <c r="D49" s="1">
        <f>(25*(10^5))/0.01</f>
        <v>250000000</v>
      </c>
      <c r="E49" s="1">
        <f>(48*(10^5))/0.01</f>
        <v>480000000</v>
      </c>
      <c r="F49" s="1">
        <f>(2*(10^5))/0.01</f>
        <v>20000000</v>
      </c>
    </row>
    <row r="50" spans="1:6" x14ac:dyDescent="0.2">
      <c r="A50" t="s">
        <v>12</v>
      </c>
      <c r="B50" t="s">
        <v>15</v>
      </c>
      <c r="C50" t="s">
        <v>5</v>
      </c>
      <c r="D50" s="1">
        <f>(21*(10^2))/0.01</f>
        <v>210000</v>
      </c>
      <c r="E50" s="1">
        <f>(7*(10^2))/0.01</f>
        <v>70000</v>
      </c>
      <c r="F50" s="1">
        <f>(15*(10^4))/0.01</f>
        <v>15000000</v>
      </c>
    </row>
    <row r="51" spans="1:6" x14ac:dyDescent="0.2">
      <c r="A51" t="s">
        <v>3</v>
      </c>
      <c r="B51" t="s">
        <v>15</v>
      </c>
      <c r="C51" t="s">
        <v>6</v>
      </c>
      <c r="D51" s="1">
        <v>0</v>
      </c>
      <c r="E51" s="1">
        <v>0</v>
      </c>
      <c r="F51" s="1">
        <f>(39*(10^3))/0.01</f>
        <v>3900000</v>
      </c>
    </row>
    <row r="52" spans="1:6" x14ac:dyDescent="0.2">
      <c r="A52" t="s">
        <v>7</v>
      </c>
      <c r="B52" t="s">
        <v>15</v>
      </c>
      <c r="C52" t="s">
        <v>6</v>
      </c>
      <c r="D52" s="1">
        <v>0</v>
      </c>
      <c r="E52" s="1">
        <v>0</v>
      </c>
      <c r="F52" s="1">
        <v>0</v>
      </c>
    </row>
    <row r="53" spans="1:6" x14ac:dyDescent="0.2">
      <c r="A53" t="s">
        <v>8</v>
      </c>
      <c r="B53" t="s">
        <v>15</v>
      </c>
      <c r="C53" t="s">
        <v>6</v>
      </c>
      <c r="D53" s="1">
        <v>0</v>
      </c>
      <c r="E53" s="1">
        <v>0</v>
      </c>
      <c r="F53" s="1">
        <v>0</v>
      </c>
    </row>
    <row r="54" spans="1:6" x14ac:dyDescent="0.2">
      <c r="A54" t="s">
        <v>9</v>
      </c>
      <c r="B54" t="s">
        <v>15</v>
      </c>
      <c r="C54" t="s">
        <v>6</v>
      </c>
      <c r="D54" s="1">
        <v>0</v>
      </c>
      <c r="E54" s="1">
        <v>0</v>
      </c>
      <c r="F54" s="1">
        <v>0</v>
      </c>
    </row>
    <row r="55" spans="1:6" x14ac:dyDescent="0.2">
      <c r="A55" t="s">
        <v>10</v>
      </c>
      <c r="B55" t="s">
        <v>15</v>
      </c>
      <c r="C55" t="s">
        <v>6</v>
      </c>
      <c r="D55" s="1">
        <v>0</v>
      </c>
      <c r="E55" s="1">
        <v>0</v>
      </c>
      <c r="F55" s="1">
        <f>(54*(10^3))/0.01</f>
        <v>5400000</v>
      </c>
    </row>
    <row r="56" spans="1:6" x14ac:dyDescent="0.2">
      <c r="A56" t="s">
        <v>11</v>
      </c>
      <c r="B56" t="s">
        <v>15</v>
      </c>
      <c r="C56" t="s">
        <v>6</v>
      </c>
      <c r="D56" s="1">
        <v>0</v>
      </c>
      <c r="E56" s="1">
        <v>0</v>
      </c>
      <c r="F56" s="1">
        <f>(64*(10^3))/0.01</f>
        <v>6400000</v>
      </c>
    </row>
    <row r="57" spans="1:6" x14ac:dyDescent="0.2">
      <c r="A57" t="s">
        <v>12</v>
      </c>
      <c r="B57" t="s">
        <v>15</v>
      </c>
      <c r="C57" t="s">
        <v>6</v>
      </c>
      <c r="D57" s="1">
        <v>0</v>
      </c>
      <c r="E57" s="1">
        <v>0</v>
      </c>
      <c r="F57" s="1">
        <f>(125*(10^3))/0.01</f>
        <v>12500000</v>
      </c>
    </row>
    <row r="58" spans="1:6" x14ac:dyDescent="0.2">
      <c r="A58" t="s">
        <v>3</v>
      </c>
      <c r="B58" t="s">
        <v>16</v>
      </c>
      <c r="C58" t="s">
        <v>5</v>
      </c>
      <c r="D58" s="1">
        <f>(27*(10^4))/0.01</f>
        <v>27000000</v>
      </c>
      <c r="E58" s="1">
        <f>(13*(10^4))/0.01</f>
        <v>13000000</v>
      </c>
      <c r="F58" s="1">
        <f>(2*(10^4))/0.01</f>
        <v>2000000</v>
      </c>
    </row>
    <row r="59" spans="1:6" x14ac:dyDescent="0.2">
      <c r="A59" t="s">
        <v>7</v>
      </c>
      <c r="B59" t="s">
        <v>16</v>
      </c>
      <c r="C59" t="s">
        <v>5</v>
      </c>
      <c r="D59" s="1">
        <f>(14*(10^5))/0.01</f>
        <v>140000000</v>
      </c>
      <c r="E59" s="1">
        <f>(19*(10^5))/0.01</f>
        <v>190000000</v>
      </c>
      <c r="F59" s="1">
        <v>0</v>
      </c>
    </row>
    <row r="60" spans="1:6" x14ac:dyDescent="0.2">
      <c r="A60" t="s">
        <v>8</v>
      </c>
      <c r="B60" t="s">
        <v>16</v>
      </c>
      <c r="C60" t="s">
        <v>5</v>
      </c>
      <c r="D60" s="1">
        <f>(26*(10^1))/0.01</f>
        <v>26000</v>
      </c>
      <c r="E60" s="1">
        <f>(56*(10^2))/0.01</f>
        <v>560000</v>
      </c>
      <c r="F60" s="1">
        <f>(46*(10^2))/0.01</f>
        <v>460000</v>
      </c>
    </row>
    <row r="61" spans="1:6" x14ac:dyDescent="0.2">
      <c r="A61" t="s">
        <v>9</v>
      </c>
      <c r="B61" t="s">
        <v>16</v>
      </c>
      <c r="C61" t="s">
        <v>5</v>
      </c>
      <c r="D61" s="1">
        <f>(6*(10^4))/0.01</f>
        <v>6000000</v>
      </c>
      <c r="E61" s="1">
        <f>(3*(10^4))/0.01</f>
        <v>3000000</v>
      </c>
      <c r="F61" s="1">
        <v>0</v>
      </c>
    </row>
    <row r="62" spans="1:6" x14ac:dyDescent="0.2">
      <c r="A62" t="s">
        <v>10</v>
      </c>
      <c r="B62" t="s">
        <v>16</v>
      </c>
      <c r="C62" t="s">
        <v>5</v>
      </c>
      <c r="D62" s="1">
        <f>(31*(10^4))/0.01</f>
        <v>31000000</v>
      </c>
      <c r="E62" s="1">
        <f t="shared" ref="E62" si="0">(8*(10^4))/0.01</f>
        <v>8000000</v>
      </c>
      <c r="F62" s="1">
        <f>(3*(10^4))/0.01</f>
        <v>3000000</v>
      </c>
    </row>
    <row r="63" spans="1:6" x14ac:dyDescent="0.2">
      <c r="A63" t="s">
        <v>11</v>
      </c>
      <c r="B63" t="s">
        <v>16</v>
      </c>
      <c r="C63" t="s">
        <v>5</v>
      </c>
      <c r="D63" s="1">
        <f>(5*(10^5))/0.01</f>
        <v>50000000</v>
      </c>
      <c r="E63" s="1">
        <f>(6*(10^5))/0.01</f>
        <v>60000000</v>
      </c>
      <c r="F63" s="1">
        <v>0</v>
      </c>
    </row>
    <row r="64" spans="1:6" x14ac:dyDescent="0.2">
      <c r="A64" t="s">
        <v>12</v>
      </c>
      <c r="B64" t="s">
        <v>16</v>
      </c>
      <c r="C64" t="s">
        <v>5</v>
      </c>
      <c r="D64" s="1">
        <f>(7*(10^2))/0.01</f>
        <v>70000</v>
      </c>
      <c r="E64" s="1">
        <f>(9*(10^2))/0.01</f>
        <v>90000</v>
      </c>
      <c r="F64" s="1">
        <f>(11*(10^4))/0.01</f>
        <v>11000000</v>
      </c>
    </row>
    <row r="65" spans="1:6" x14ac:dyDescent="0.2">
      <c r="A65" t="s">
        <v>3</v>
      </c>
      <c r="B65" t="s">
        <v>16</v>
      </c>
      <c r="C65" t="s">
        <v>6</v>
      </c>
      <c r="D65" s="1">
        <v>0</v>
      </c>
      <c r="E65" s="1">
        <v>0</v>
      </c>
      <c r="F65" s="1">
        <f>(23*(10^3))/0.01</f>
        <v>2300000</v>
      </c>
    </row>
    <row r="66" spans="1:6" x14ac:dyDescent="0.2">
      <c r="A66" t="s">
        <v>7</v>
      </c>
      <c r="B66" t="s">
        <v>16</v>
      </c>
      <c r="C66" t="s">
        <v>6</v>
      </c>
      <c r="D66" s="1">
        <v>0</v>
      </c>
      <c r="E66" s="1">
        <v>0</v>
      </c>
      <c r="F66" s="1">
        <v>0</v>
      </c>
    </row>
    <row r="67" spans="1:6" x14ac:dyDescent="0.2">
      <c r="A67" t="s">
        <v>8</v>
      </c>
      <c r="B67" t="s">
        <v>16</v>
      </c>
      <c r="C67" t="s">
        <v>6</v>
      </c>
      <c r="D67" s="1">
        <v>0</v>
      </c>
      <c r="E67" s="1">
        <v>0</v>
      </c>
      <c r="F67" s="1">
        <v>0</v>
      </c>
    </row>
    <row r="68" spans="1:6" x14ac:dyDescent="0.2">
      <c r="A68" t="s">
        <v>9</v>
      </c>
      <c r="B68" t="s">
        <v>16</v>
      </c>
      <c r="C68" t="s">
        <v>6</v>
      </c>
      <c r="D68" s="1">
        <v>0</v>
      </c>
      <c r="E68" s="1">
        <v>0</v>
      </c>
      <c r="F68" s="1">
        <v>0</v>
      </c>
    </row>
    <row r="69" spans="1:6" x14ac:dyDescent="0.2">
      <c r="A69" t="s">
        <v>10</v>
      </c>
      <c r="B69" t="s">
        <v>16</v>
      </c>
      <c r="C69" t="s">
        <v>6</v>
      </c>
      <c r="D69" s="1">
        <f>(1*(10^1))/0.01</f>
        <v>1000</v>
      </c>
      <c r="E69" s="1">
        <f>(1*(10^2))/0.01</f>
        <v>10000</v>
      </c>
      <c r="F69" s="1">
        <f>(28*(10^3))/0.01</f>
        <v>2800000</v>
      </c>
    </row>
    <row r="70" spans="1:6" x14ac:dyDescent="0.2">
      <c r="A70" t="s">
        <v>11</v>
      </c>
      <c r="B70" t="s">
        <v>16</v>
      </c>
      <c r="C70" t="s">
        <v>6</v>
      </c>
      <c r="D70" s="1">
        <f>(2*(10^1))/0.01</f>
        <v>2000</v>
      </c>
      <c r="E70" s="1">
        <f>(5*(10^1))/0.01</f>
        <v>5000</v>
      </c>
      <c r="F70" s="1">
        <f>(68*(10^2))/0.01</f>
        <v>680000</v>
      </c>
    </row>
    <row r="71" spans="1:6" x14ac:dyDescent="0.2">
      <c r="A71" t="s">
        <v>12</v>
      </c>
      <c r="B71" t="s">
        <v>16</v>
      </c>
      <c r="C71" t="s">
        <v>6</v>
      </c>
      <c r="D71" s="1">
        <v>0</v>
      </c>
      <c r="E71" s="1">
        <v>0</v>
      </c>
      <c r="F71" s="1">
        <f>(61*(10^3))/0.01</f>
        <v>6100000</v>
      </c>
    </row>
    <row r="72" spans="1:6" x14ac:dyDescent="0.2">
      <c r="A72" t="s">
        <v>3</v>
      </c>
      <c r="B72" t="s">
        <v>17</v>
      </c>
      <c r="C72" t="s">
        <v>5</v>
      </c>
      <c r="D72" s="1">
        <f>(15*(10^5))/0.01</f>
        <v>150000000</v>
      </c>
      <c r="E72" s="1">
        <f>(10*(10^5))/0.01</f>
        <v>100000000</v>
      </c>
      <c r="F72" s="1">
        <v>0</v>
      </c>
    </row>
    <row r="73" spans="1:6" x14ac:dyDescent="0.2">
      <c r="A73" t="s">
        <v>7</v>
      </c>
      <c r="B73" t="s">
        <v>17</v>
      </c>
      <c r="C73" t="s">
        <v>5</v>
      </c>
      <c r="D73" s="1">
        <f>(37*(10^4))/0.01</f>
        <v>37000000</v>
      </c>
      <c r="E73" s="1">
        <f>(56*(10^4))/0.01</f>
        <v>56000000</v>
      </c>
      <c r="F73" s="1">
        <v>0</v>
      </c>
    </row>
    <row r="74" spans="1:6" x14ac:dyDescent="0.2">
      <c r="A74" t="s">
        <v>8</v>
      </c>
      <c r="B74" t="s">
        <v>17</v>
      </c>
      <c r="C74" t="s">
        <v>5</v>
      </c>
      <c r="D74" s="1">
        <f>(28*(10^3))/0.01</f>
        <v>2800000</v>
      </c>
      <c r="E74" s="1">
        <f>(14*(10^3))/0.01</f>
        <v>1400000</v>
      </c>
      <c r="F74" s="1">
        <f t="shared" ref="F74" si="1">(27*(10^4))/0.01</f>
        <v>27000000</v>
      </c>
    </row>
    <row r="75" spans="1:6" x14ac:dyDescent="0.2">
      <c r="A75" t="s">
        <v>9</v>
      </c>
      <c r="B75" t="s">
        <v>17</v>
      </c>
      <c r="C75" t="s">
        <v>5</v>
      </c>
      <c r="D75" s="1">
        <f>(29*(10^4))/0.01</f>
        <v>29000000</v>
      </c>
      <c r="E75" s="1">
        <f>(3*(10^4))/0.01</f>
        <v>3000000</v>
      </c>
      <c r="F75" s="1">
        <v>0</v>
      </c>
    </row>
    <row r="76" spans="1:6" x14ac:dyDescent="0.2">
      <c r="A76" t="s">
        <v>10</v>
      </c>
      <c r="B76" t="s">
        <v>17</v>
      </c>
      <c r="C76" t="s">
        <v>5</v>
      </c>
      <c r="D76" s="1">
        <f>(9*(10^5))/0.01</f>
        <v>90000000</v>
      </c>
      <c r="E76" s="1">
        <f>(20*(10^5))/0.01</f>
        <v>200000000</v>
      </c>
      <c r="F76" s="1">
        <v>0</v>
      </c>
    </row>
    <row r="77" spans="1:6" x14ac:dyDescent="0.2">
      <c r="A77" t="s">
        <v>11</v>
      </c>
      <c r="B77" t="s">
        <v>17</v>
      </c>
      <c r="C77" t="s">
        <v>5</v>
      </c>
      <c r="D77" s="1">
        <f>(84*(10^4))/0.01</f>
        <v>84000000</v>
      </c>
      <c r="E77" s="1">
        <f>(11*(10^4))/0.01</f>
        <v>11000000</v>
      </c>
      <c r="F77" s="1">
        <v>0</v>
      </c>
    </row>
    <row r="78" spans="1:6" x14ac:dyDescent="0.2">
      <c r="A78" t="s">
        <v>12</v>
      </c>
      <c r="B78" t="s">
        <v>17</v>
      </c>
      <c r="C78" t="s">
        <v>5</v>
      </c>
      <c r="D78" s="1">
        <v>0</v>
      </c>
      <c r="E78" s="1">
        <v>0</v>
      </c>
      <c r="F78" s="1">
        <f>(36*(10^3))/0.01</f>
        <v>3600000</v>
      </c>
    </row>
    <row r="79" spans="1:6" x14ac:dyDescent="0.2">
      <c r="A79" t="s">
        <v>3</v>
      </c>
      <c r="B79" t="s">
        <v>17</v>
      </c>
      <c r="C79" t="s">
        <v>6</v>
      </c>
      <c r="D79" s="1">
        <v>0</v>
      </c>
      <c r="E79" s="1">
        <v>0</v>
      </c>
      <c r="F79" s="1">
        <f>(44*(10^2))/0.01</f>
        <v>440000</v>
      </c>
    </row>
    <row r="80" spans="1:6" x14ac:dyDescent="0.2">
      <c r="A80" t="s">
        <v>7</v>
      </c>
      <c r="B80" t="s">
        <v>17</v>
      </c>
      <c r="C80" t="s">
        <v>6</v>
      </c>
      <c r="D80" s="1">
        <v>0</v>
      </c>
      <c r="E80" s="1">
        <v>0</v>
      </c>
      <c r="F80" s="1">
        <v>0</v>
      </c>
    </row>
    <row r="81" spans="1:6" x14ac:dyDescent="0.2">
      <c r="A81" t="s">
        <v>8</v>
      </c>
      <c r="B81" t="s">
        <v>17</v>
      </c>
      <c r="C81" t="s">
        <v>6</v>
      </c>
      <c r="D81" s="1">
        <v>0</v>
      </c>
      <c r="E81" s="1">
        <v>0</v>
      </c>
      <c r="F81" s="1">
        <v>0</v>
      </c>
    </row>
    <row r="82" spans="1:6" x14ac:dyDescent="0.2">
      <c r="A82" t="s">
        <v>9</v>
      </c>
      <c r="B82" t="s">
        <v>17</v>
      </c>
      <c r="C82" t="s">
        <v>6</v>
      </c>
      <c r="D82" s="1">
        <v>0</v>
      </c>
      <c r="E82" s="1">
        <v>0</v>
      </c>
      <c r="F82" s="1">
        <v>0</v>
      </c>
    </row>
    <row r="83" spans="1:6" x14ac:dyDescent="0.2">
      <c r="A83" t="s">
        <v>10</v>
      </c>
      <c r="B83" t="s">
        <v>17</v>
      </c>
      <c r="C83" t="s">
        <v>6</v>
      </c>
      <c r="D83" s="1">
        <f>(11*(10^1))/0.01</f>
        <v>11000</v>
      </c>
      <c r="E83" s="1">
        <f>(7*(10^1))/0.01</f>
        <v>7000</v>
      </c>
      <c r="F83" s="1">
        <f>(8*(10^3))/0.01</f>
        <v>800000</v>
      </c>
    </row>
    <row r="84" spans="1:6" x14ac:dyDescent="0.2">
      <c r="A84" t="s">
        <v>11</v>
      </c>
      <c r="B84" t="s">
        <v>17</v>
      </c>
      <c r="C84" t="s">
        <v>6</v>
      </c>
      <c r="D84" s="1">
        <f>(30*(10^1))/0.01</f>
        <v>30000</v>
      </c>
      <c r="E84" s="1">
        <f>(11*(10^1))/0.01</f>
        <v>11000</v>
      </c>
      <c r="F84" s="1">
        <f>(12*(10^2))/0.01</f>
        <v>120000</v>
      </c>
    </row>
    <row r="85" spans="1:6" x14ac:dyDescent="0.2">
      <c r="A85" t="s">
        <v>12</v>
      </c>
      <c r="B85" t="s">
        <v>17</v>
      </c>
      <c r="C85" t="s">
        <v>6</v>
      </c>
      <c r="D85" s="1">
        <v>0</v>
      </c>
      <c r="E85" s="1">
        <v>0</v>
      </c>
      <c r="F85" s="1">
        <f>(34*(10^3))/0.01</f>
        <v>3400000</v>
      </c>
    </row>
    <row r="86" spans="1:6" x14ac:dyDescent="0.2">
      <c r="A86" t="s">
        <v>3</v>
      </c>
      <c r="B86" t="s">
        <v>18</v>
      </c>
      <c r="C86" t="s">
        <v>5</v>
      </c>
      <c r="D86" s="1">
        <f>(12*(10^5))/0.01</f>
        <v>120000000</v>
      </c>
      <c r="E86" s="1">
        <f>(4*(10^5))/0.01</f>
        <v>40000000</v>
      </c>
      <c r="F86" s="1">
        <v>0</v>
      </c>
    </row>
    <row r="87" spans="1:6" x14ac:dyDescent="0.2">
      <c r="A87" t="s">
        <v>7</v>
      </c>
      <c r="B87" t="s">
        <v>18</v>
      </c>
      <c r="C87" t="s">
        <v>5</v>
      </c>
      <c r="D87" s="1">
        <f>(22*(10^4))/0.01</f>
        <v>22000000</v>
      </c>
      <c r="E87" s="1">
        <f>(22*(10^4))/0.01</f>
        <v>22000000</v>
      </c>
      <c r="F87" s="1">
        <f>(1*(10^4))/0.01</f>
        <v>1000000</v>
      </c>
    </row>
    <row r="88" spans="1:6" x14ac:dyDescent="0.2">
      <c r="A88" t="s">
        <v>8</v>
      </c>
      <c r="B88" t="s">
        <v>18</v>
      </c>
      <c r="C88" t="s">
        <v>5</v>
      </c>
      <c r="D88" s="1">
        <f>(24*(10^4))/0.01</f>
        <v>24000000</v>
      </c>
      <c r="E88" s="1">
        <f>(6*(10^4))/0.01</f>
        <v>6000000</v>
      </c>
      <c r="F88" s="1">
        <f t="shared" ref="F88" si="2">(27*(10^4))/0.01</f>
        <v>27000000</v>
      </c>
    </row>
    <row r="89" spans="1:6" x14ac:dyDescent="0.2">
      <c r="A89" t="s">
        <v>9</v>
      </c>
      <c r="B89" t="s">
        <v>18</v>
      </c>
      <c r="C89" t="s">
        <v>5</v>
      </c>
      <c r="D89" s="1">
        <f>(29*(10^4))/0.01</f>
        <v>29000000</v>
      </c>
      <c r="E89" s="1">
        <f>(3*(10^4))/0.01</f>
        <v>3000000</v>
      </c>
      <c r="F89" s="1">
        <v>0</v>
      </c>
    </row>
    <row r="90" spans="1:6" x14ac:dyDescent="0.2">
      <c r="A90" t="s">
        <v>10</v>
      </c>
      <c r="B90" t="s">
        <v>18</v>
      </c>
      <c r="C90" t="s">
        <v>5</v>
      </c>
      <c r="D90" s="1">
        <f>(16*(10^5))/0.01</f>
        <v>160000000</v>
      </c>
      <c r="E90" s="1">
        <f>(37*(10^5))/0.01</f>
        <v>370000000</v>
      </c>
      <c r="F90" s="1">
        <v>0</v>
      </c>
    </row>
    <row r="91" spans="1:6" x14ac:dyDescent="0.2">
      <c r="A91" t="s">
        <v>11</v>
      </c>
      <c r="B91" t="s">
        <v>18</v>
      </c>
      <c r="C91" t="s">
        <v>5</v>
      </c>
      <c r="D91" s="1">
        <f>(18*(10^3))/0.01</f>
        <v>1800000</v>
      </c>
      <c r="E91" s="1">
        <f>(4*(10^3))/0.01</f>
        <v>400000</v>
      </c>
      <c r="F91" s="1">
        <v>0</v>
      </c>
    </row>
    <row r="92" spans="1:6" x14ac:dyDescent="0.2">
      <c r="A92" t="s">
        <v>12</v>
      </c>
      <c r="B92" t="s">
        <v>18</v>
      </c>
      <c r="C92" t="s">
        <v>5</v>
      </c>
      <c r="D92" s="1">
        <f>(6*(10^1))/0.01</f>
        <v>6000</v>
      </c>
      <c r="E92" s="1">
        <f>(1*(10^1))/0.01</f>
        <v>1000</v>
      </c>
      <c r="F92" s="1">
        <f>(58*(10^2))/0.01</f>
        <v>580000</v>
      </c>
    </row>
    <row r="93" spans="1:6" x14ac:dyDescent="0.2">
      <c r="A93" t="s">
        <v>3</v>
      </c>
      <c r="B93" t="s">
        <v>18</v>
      </c>
      <c r="C93" t="s">
        <v>6</v>
      </c>
      <c r="D93" s="1">
        <v>0</v>
      </c>
      <c r="E93" s="1">
        <v>0</v>
      </c>
      <c r="F93" s="1">
        <f>(12*(10^2))/0.01</f>
        <v>120000</v>
      </c>
    </row>
    <row r="94" spans="1:6" x14ac:dyDescent="0.2">
      <c r="A94" t="s">
        <v>7</v>
      </c>
      <c r="B94" t="s">
        <v>18</v>
      </c>
      <c r="C94" t="s">
        <v>6</v>
      </c>
      <c r="D94" s="1">
        <v>0</v>
      </c>
      <c r="E94" s="1">
        <v>0</v>
      </c>
      <c r="F94" s="1">
        <v>0</v>
      </c>
    </row>
    <row r="95" spans="1:6" x14ac:dyDescent="0.2">
      <c r="A95" t="s">
        <v>8</v>
      </c>
      <c r="B95" t="s">
        <v>18</v>
      </c>
      <c r="C95" t="s">
        <v>6</v>
      </c>
      <c r="D95" s="1">
        <v>0</v>
      </c>
      <c r="E95" s="1">
        <v>0</v>
      </c>
      <c r="F95" s="1">
        <v>0</v>
      </c>
    </row>
    <row r="96" spans="1:6" x14ac:dyDescent="0.2">
      <c r="A96" t="s">
        <v>9</v>
      </c>
      <c r="B96" t="s">
        <v>18</v>
      </c>
      <c r="C96" t="s">
        <v>6</v>
      </c>
      <c r="D96" s="1">
        <v>0</v>
      </c>
      <c r="E96" s="1">
        <v>0</v>
      </c>
      <c r="F96" s="1">
        <v>0</v>
      </c>
    </row>
    <row r="97" spans="1:6" x14ac:dyDescent="0.2">
      <c r="A97" t="s">
        <v>10</v>
      </c>
      <c r="B97" t="s">
        <v>18</v>
      </c>
      <c r="C97" t="s">
        <v>6</v>
      </c>
      <c r="D97" s="1">
        <f>(28*(10^1))/0.01</f>
        <v>28000</v>
      </c>
      <c r="E97" s="1">
        <f>(17*(10^1))/0.01</f>
        <v>17000</v>
      </c>
      <c r="F97" s="1">
        <f>(34*(10^2))/0.01</f>
        <v>340000</v>
      </c>
    </row>
    <row r="98" spans="1:6" x14ac:dyDescent="0.2">
      <c r="A98" t="s">
        <v>11</v>
      </c>
      <c r="B98" t="s">
        <v>18</v>
      </c>
      <c r="C98" t="s">
        <v>6</v>
      </c>
      <c r="D98" s="1">
        <f>(6*(10^1))/0.01</f>
        <v>6000</v>
      </c>
      <c r="E98" s="1">
        <f>(7*(10^2))/0.01</f>
        <v>70000</v>
      </c>
      <c r="F98" s="1">
        <f>(5*(10^1))/0.01</f>
        <v>5000</v>
      </c>
    </row>
    <row r="99" spans="1:6" x14ac:dyDescent="0.2">
      <c r="A99" t="s">
        <v>12</v>
      </c>
      <c r="B99" t="s">
        <v>18</v>
      </c>
      <c r="C99" t="s">
        <v>6</v>
      </c>
      <c r="D99" s="1">
        <v>0</v>
      </c>
      <c r="E99" s="1">
        <v>0</v>
      </c>
      <c r="F99" s="1">
        <f>(26*(10^2))/0.01</f>
        <v>260000</v>
      </c>
    </row>
    <row r="100" spans="1:6" x14ac:dyDescent="0.2">
      <c r="A100" t="s">
        <v>3</v>
      </c>
      <c r="B100" t="s">
        <v>19</v>
      </c>
      <c r="C100" t="s">
        <v>5</v>
      </c>
      <c r="D100" s="1">
        <f>(2*(10^4))/0.01</f>
        <v>2000000</v>
      </c>
      <c r="E100" s="1">
        <f>(15*(10^4))/0.01</f>
        <v>15000000</v>
      </c>
      <c r="F100" s="1">
        <f>(2*(10^3))/0.01</f>
        <v>200000</v>
      </c>
    </row>
    <row r="101" spans="1:6" x14ac:dyDescent="0.2">
      <c r="A101" t="s">
        <v>7</v>
      </c>
      <c r="B101" t="s">
        <v>19</v>
      </c>
      <c r="C101" t="s">
        <v>5</v>
      </c>
      <c r="D101" s="1">
        <f>(20*(10^4))/0.01</f>
        <v>20000000</v>
      </c>
      <c r="E101" s="1">
        <f>(16*(10^4))/0.01</f>
        <v>16000000</v>
      </c>
      <c r="F101" s="1">
        <v>0</v>
      </c>
    </row>
    <row r="102" spans="1:6" x14ac:dyDescent="0.2">
      <c r="A102" t="s">
        <v>8</v>
      </c>
      <c r="B102" t="s">
        <v>19</v>
      </c>
      <c r="C102" t="s">
        <v>5</v>
      </c>
      <c r="D102" s="1">
        <f>(4*(10^4))/0.01</f>
        <v>4000000</v>
      </c>
      <c r="E102" s="1">
        <f>(25*(10^4))/0.01</f>
        <v>25000000</v>
      </c>
      <c r="F102" s="1">
        <f>(2*(10^3))/0.01</f>
        <v>200000</v>
      </c>
    </row>
    <row r="103" spans="1:6" x14ac:dyDescent="0.2">
      <c r="A103" t="s">
        <v>9</v>
      </c>
      <c r="B103" t="s">
        <v>19</v>
      </c>
      <c r="C103" t="s">
        <v>5</v>
      </c>
      <c r="D103" s="1">
        <f>(61*(10^4))/0.01</f>
        <v>61000000</v>
      </c>
      <c r="E103" s="1">
        <f>(87*(10^4))/0.01</f>
        <v>87000000</v>
      </c>
      <c r="F103" s="1">
        <v>0</v>
      </c>
    </row>
    <row r="104" spans="1:6" x14ac:dyDescent="0.2">
      <c r="A104" t="s">
        <v>10</v>
      </c>
      <c r="B104" t="s">
        <v>19</v>
      </c>
      <c r="C104" t="s">
        <v>5</v>
      </c>
      <c r="D104" s="1">
        <f>(46*(10^4))/0.01</f>
        <v>46000000</v>
      </c>
      <c r="E104" s="1">
        <f>(38*(10^4))/0.01</f>
        <v>38000000</v>
      </c>
      <c r="F104" s="1">
        <v>0</v>
      </c>
    </row>
    <row r="105" spans="1:6" x14ac:dyDescent="0.2">
      <c r="A105" t="s">
        <v>11</v>
      </c>
      <c r="B105" t="s">
        <v>19</v>
      </c>
      <c r="C105" t="s">
        <v>5</v>
      </c>
      <c r="D105" s="1">
        <f>(33*(10^2))/0.01</f>
        <v>330000</v>
      </c>
      <c r="E105" s="1">
        <f>(38*(10^3))/0.01</f>
        <v>3800000</v>
      </c>
      <c r="F105" s="1">
        <v>0</v>
      </c>
    </row>
    <row r="106" spans="1:6" x14ac:dyDescent="0.2">
      <c r="A106" t="s">
        <v>12</v>
      </c>
      <c r="B106" t="s">
        <v>19</v>
      </c>
      <c r="C106" t="s">
        <v>5</v>
      </c>
      <c r="D106" s="1">
        <v>0</v>
      </c>
      <c r="E106" s="1">
        <v>0</v>
      </c>
      <c r="F106" s="1">
        <f>(4*(10^1))/0.01</f>
        <v>4000</v>
      </c>
    </row>
    <row r="107" spans="1:6" x14ac:dyDescent="0.2">
      <c r="A107" t="s">
        <v>3</v>
      </c>
      <c r="B107" t="s">
        <v>19</v>
      </c>
      <c r="C107" t="s">
        <v>6</v>
      </c>
      <c r="D107" s="1">
        <v>0</v>
      </c>
      <c r="E107" s="1">
        <v>0</v>
      </c>
      <c r="F107" s="1">
        <f>(37*(1))/0.01</f>
        <v>3700</v>
      </c>
    </row>
    <row r="108" spans="1:6" x14ac:dyDescent="0.2">
      <c r="A108" t="s">
        <v>7</v>
      </c>
      <c r="B108" t="s">
        <v>19</v>
      </c>
      <c r="C108" t="s">
        <v>6</v>
      </c>
      <c r="D108" s="1">
        <v>0</v>
      </c>
      <c r="E108" s="1">
        <v>0</v>
      </c>
      <c r="F108" s="1">
        <v>0</v>
      </c>
    </row>
    <row r="109" spans="1:6" x14ac:dyDescent="0.2">
      <c r="A109" t="s">
        <v>8</v>
      </c>
      <c r="B109" t="s">
        <v>19</v>
      </c>
      <c r="C109" t="s">
        <v>6</v>
      </c>
      <c r="D109" s="1">
        <v>0</v>
      </c>
      <c r="E109" s="1">
        <v>0</v>
      </c>
      <c r="F109" s="1">
        <v>0</v>
      </c>
    </row>
    <row r="110" spans="1:6" x14ac:dyDescent="0.2">
      <c r="A110" t="s">
        <v>9</v>
      </c>
      <c r="B110" t="s">
        <v>19</v>
      </c>
      <c r="C110" t="s">
        <v>6</v>
      </c>
      <c r="D110" s="1">
        <v>0</v>
      </c>
      <c r="E110" s="1">
        <v>0</v>
      </c>
      <c r="F110" s="1">
        <v>0</v>
      </c>
    </row>
    <row r="111" spans="1:6" x14ac:dyDescent="0.2">
      <c r="A111" t="s">
        <v>10</v>
      </c>
      <c r="B111" t="s">
        <v>19</v>
      </c>
      <c r="C111" t="s">
        <v>6</v>
      </c>
      <c r="D111" s="1">
        <f>(16*(10^1))/0.01</f>
        <v>16000</v>
      </c>
      <c r="E111" s="1">
        <f>(6*(10^1))/0.01</f>
        <v>6000</v>
      </c>
      <c r="F111" s="1">
        <f>(36*(10^1))/0.01</f>
        <v>36000</v>
      </c>
    </row>
    <row r="112" spans="1:6" x14ac:dyDescent="0.2">
      <c r="A112" t="s">
        <v>11</v>
      </c>
      <c r="B112" t="s">
        <v>19</v>
      </c>
      <c r="C112" t="s">
        <v>6</v>
      </c>
      <c r="D112" s="1">
        <f>(5*(10^2))/0.01</f>
        <v>50000</v>
      </c>
      <c r="E112" s="1">
        <f>(32*(10^3))/0.01</f>
        <v>3200000</v>
      </c>
      <c r="F112" s="1">
        <v>0</v>
      </c>
    </row>
    <row r="113" spans="1:6" x14ac:dyDescent="0.2">
      <c r="A113" t="s">
        <v>12</v>
      </c>
      <c r="B113" t="s">
        <v>19</v>
      </c>
      <c r="C113" t="s">
        <v>6</v>
      </c>
      <c r="D113" s="1">
        <v>0</v>
      </c>
      <c r="E113" s="1">
        <v>0</v>
      </c>
      <c r="F113" s="1">
        <f>(2*(1))/0.01</f>
        <v>200</v>
      </c>
    </row>
  </sheetData>
  <phoneticPr fontId="1" type="noConversion"/>
  <pageMargins left="0.7" right="0.7" top="0.78740157499999996" bottom="0.78740157499999996" header="0.3" footer="0.3"/>
  <pageSetup paperSize="9" orientation="portrait" r:id="rId1"/>
  <ignoredErrors>
    <ignoredError sqref="E4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 Hien Vu</dc:creator>
  <cp:lastModifiedBy>Thu Hien Vu</cp:lastModifiedBy>
  <dcterms:created xsi:type="dcterms:W3CDTF">2026-03-25T15:21:32Z</dcterms:created>
  <dcterms:modified xsi:type="dcterms:W3CDTF">2026-03-26T14:08:06Z</dcterms:modified>
</cp:coreProperties>
</file>