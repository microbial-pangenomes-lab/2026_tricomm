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T:\sysb\user\vuhien\AG Galardini\Hien\Scanner\20260527\"/>
    </mc:Choice>
  </mc:AlternateContent>
  <xr:revisionPtr revIDLastSave="0" documentId="13_ncr:1_{8535C220-575E-4D71-A573-D757218E4BF4}" xr6:coauthVersionLast="47" xr6:coauthVersionMax="47" xr10:uidLastSave="{00000000-0000-0000-0000-000000000000}"/>
  <bookViews>
    <workbookView xWindow="7200" yWindow="105" windowWidth="21600" windowHeight="11295" xr2:uid="{90E1DCE1-7665-4D49-8580-410885E30459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89" i="1" l="1"/>
  <c r="D189" i="1"/>
  <c r="E185" i="1"/>
  <c r="D185" i="1"/>
  <c r="E184" i="1"/>
  <c r="D184" i="1"/>
  <c r="E187" i="1"/>
  <c r="E183" i="1"/>
  <c r="D183" i="1"/>
  <c r="E182" i="1"/>
  <c r="D182" i="1"/>
  <c r="E181" i="1"/>
  <c r="D181" i="1"/>
  <c r="E177" i="1"/>
  <c r="D177" i="1"/>
  <c r="E176" i="1"/>
  <c r="D176" i="1"/>
  <c r="F179" i="1"/>
  <c r="D179" i="1"/>
  <c r="E175" i="1"/>
  <c r="D175" i="1"/>
  <c r="E174" i="1"/>
  <c r="D174" i="1"/>
  <c r="D187" i="1"/>
  <c r="E173" i="1"/>
  <c r="D173" i="1"/>
  <c r="E169" i="1"/>
  <c r="D169" i="1"/>
  <c r="E168" i="1"/>
  <c r="D168" i="1"/>
  <c r="F171" i="1"/>
  <c r="E171" i="1"/>
  <c r="D171" i="1"/>
  <c r="E167" i="1"/>
  <c r="D167" i="1"/>
  <c r="E166" i="1"/>
  <c r="D166" i="1"/>
  <c r="E165" i="1"/>
  <c r="D165" i="1"/>
  <c r="E161" i="1"/>
  <c r="D161" i="1"/>
  <c r="E160" i="1"/>
  <c r="D160" i="1"/>
  <c r="F163" i="1"/>
  <c r="E163" i="1"/>
  <c r="D163" i="1"/>
  <c r="E159" i="1"/>
  <c r="D159" i="1"/>
  <c r="E158" i="1"/>
  <c r="D158" i="1"/>
  <c r="F139" i="1"/>
  <c r="E143" i="1"/>
  <c r="D143" i="1"/>
  <c r="E137" i="1"/>
  <c r="D137" i="1"/>
  <c r="E136" i="1"/>
  <c r="D136" i="1"/>
  <c r="F141" i="1"/>
  <c r="E141" i="1"/>
  <c r="D141" i="1"/>
  <c r="F135" i="1"/>
  <c r="E135" i="1"/>
  <c r="D135" i="1"/>
  <c r="E134" i="1"/>
  <c r="D134" i="1"/>
  <c r="E155" i="1"/>
  <c r="D155" i="1"/>
  <c r="E149" i="1"/>
  <c r="D149" i="1"/>
  <c r="E148" i="1"/>
  <c r="D148" i="1"/>
  <c r="F153" i="1"/>
  <c r="E147" i="1"/>
  <c r="D147" i="1"/>
  <c r="E146" i="1"/>
  <c r="D146" i="1"/>
  <c r="E131" i="1"/>
  <c r="D131" i="1"/>
  <c r="E125" i="1"/>
  <c r="D125" i="1"/>
  <c r="D124" i="1"/>
  <c r="E124" i="1"/>
  <c r="E128" i="1"/>
  <c r="F129" i="1"/>
  <c r="E129" i="1"/>
  <c r="D129" i="1"/>
  <c r="E123" i="1"/>
  <c r="D123" i="1"/>
  <c r="E122" i="1"/>
  <c r="D122" i="1"/>
  <c r="F115" i="1"/>
  <c r="E119" i="1"/>
  <c r="D119" i="1"/>
  <c r="E113" i="1"/>
  <c r="D113" i="1"/>
  <c r="E112" i="1"/>
  <c r="D112" i="1"/>
  <c r="F117" i="1"/>
  <c r="E117" i="1"/>
  <c r="D117" i="1"/>
  <c r="E111" i="1"/>
  <c r="D111" i="1"/>
  <c r="E110" i="1"/>
  <c r="D110" i="1"/>
  <c r="F105" i="1"/>
  <c r="E105" i="1"/>
  <c r="D105" i="1"/>
  <c r="F109" i="1"/>
  <c r="F103" i="1"/>
  <c r="F107" i="1"/>
  <c r="E107" i="1"/>
  <c r="D107" i="1"/>
  <c r="F101" i="1"/>
  <c r="E101" i="1"/>
  <c r="D101" i="1"/>
  <c r="D100" i="1"/>
  <c r="E100" i="1"/>
  <c r="E99" i="1"/>
  <c r="D99" i="1"/>
  <c r="E98" i="1"/>
  <c r="D98" i="1"/>
  <c r="F97" i="1"/>
  <c r="F91" i="1"/>
  <c r="D91" i="1"/>
  <c r="F95" i="1"/>
  <c r="E95" i="1"/>
  <c r="D95" i="1"/>
  <c r="E89" i="1"/>
  <c r="D89" i="1"/>
  <c r="E88" i="1"/>
  <c r="D88" i="1"/>
  <c r="F93" i="1"/>
  <c r="E93" i="1"/>
  <c r="D93" i="1"/>
  <c r="E87" i="1"/>
  <c r="D87" i="1"/>
  <c r="E86" i="1"/>
  <c r="D86" i="1"/>
  <c r="F85" i="1"/>
  <c r="E85" i="1"/>
  <c r="F79" i="1"/>
  <c r="E79" i="1"/>
  <c r="D78" i="1"/>
  <c r="F83" i="1"/>
  <c r="E83" i="1"/>
  <c r="E77" i="1"/>
  <c r="F77" i="1"/>
  <c r="D77" i="1"/>
  <c r="F76" i="1"/>
  <c r="E76" i="1"/>
  <c r="D76" i="1"/>
  <c r="F81" i="1"/>
  <c r="D81" i="1"/>
  <c r="F75" i="1"/>
  <c r="E75" i="1"/>
  <c r="D75" i="1"/>
  <c r="E74" i="1"/>
  <c r="D74" i="1"/>
  <c r="F73" i="1"/>
  <c r="F67" i="1"/>
  <c r="D66" i="1"/>
  <c r="F71" i="1"/>
  <c r="E71" i="1"/>
  <c r="F65" i="1"/>
  <c r="E65" i="1"/>
  <c r="D65" i="1"/>
  <c r="E64" i="1"/>
  <c r="D64" i="1"/>
  <c r="F69" i="1"/>
  <c r="E69" i="1"/>
  <c r="D69" i="1"/>
  <c r="F63" i="1"/>
  <c r="E63" i="1"/>
  <c r="D63" i="1"/>
  <c r="F62" i="1"/>
  <c r="E62" i="1"/>
  <c r="D62" i="1"/>
  <c r="F61" i="1"/>
  <c r="F55" i="1"/>
  <c r="D55" i="1"/>
  <c r="D54" i="1"/>
  <c r="F54" i="1"/>
  <c r="E54" i="1"/>
  <c r="F59" i="1"/>
  <c r="F53" i="1"/>
  <c r="D53" i="1"/>
  <c r="F52" i="1"/>
  <c r="E52" i="1"/>
  <c r="D52" i="1"/>
  <c r="F57" i="1"/>
  <c r="F51" i="1"/>
  <c r="E51" i="1"/>
  <c r="D51" i="1"/>
  <c r="E50" i="1"/>
  <c r="D50" i="1"/>
  <c r="E53" i="1"/>
  <c r="F49" i="1"/>
  <c r="F43" i="1"/>
  <c r="E43" i="1"/>
  <c r="D43" i="1"/>
  <c r="F42" i="1"/>
  <c r="E42" i="1"/>
  <c r="D42" i="1"/>
  <c r="F47" i="1"/>
  <c r="F41" i="1"/>
  <c r="E41" i="1"/>
  <c r="D41" i="1"/>
  <c r="F40" i="1"/>
  <c r="E40" i="1"/>
  <c r="D40" i="1"/>
  <c r="F45" i="1"/>
  <c r="D45" i="1"/>
  <c r="E39" i="1"/>
  <c r="D39" i="1"/>
  <c r="F39" i="1"/>
  <c r="F38" i="1"/>
  <c r="E38" i="1"/>
  <c r="D38" i="1"/>
  <c r="F31" i="1"/>
  <c r="D31" i="1"/>
  <c r="F30" i="1"/>
  <c r="E30" i="1"/>
  <c r="D30" i="1"/>
  <c r="F37" i="1"/>
  <c r="F35" i="1"/>
  <c r="F29" i="1"/>
  <c r="D29" i="1"/>
  <c r="E29" i="1"/>
  <c r="F28" i="1"/>
  <c r="E28" i="1"/>
  <c r="D28" i="1"/>
  <c r="F33" i="1"/>
  <c r="F27" i="1"/>
  <c r="E27" i="1"/>
  <c r="D27" i="1"/>
  <c r="F26" i="1"/>
  <c r="E26" i="1"/>
  <c r="D26" i="1"/>
  <c r="E31" i="1"/>
  <c r="F25" i="1"/>
  <c r="F19" i="1"/>
  <c r="F18" i="1"/>
  <c r="E19" i="1"/>
  <c r="D19" i="1"/>
  <c r="E18" i="1"/>
  <c r="D18" i="1"/>
  <c r="F23" i="1"/>
  <c r="F17" i="1"/>
  <c r="E17" i="1"/>
  <c r="D17" i="1"/>
  <c r="F16" i="1"/>
  <c r="E16" i="1"/>
  <c r="D16" i="1"/>
  <c r="F21" i="1"/>
  <c r="F13" i="1"/>
  <c r="F7" i="1"/>
  <c r="E7" i="1"/>
  <c r="D7" i="1"/>
  <c r="F6" i="1"/>
  <c r="E6" i="1"/>
  <c r="D6" i="1"/>
  <c r="F11" i="1"/>
  <c r="F5" i="1"/>
  <c r="E5" i="1"/>
  <c r="D5" i="1"/>
  <c r="F4" i="1"/>
  <c r="E4" i="1"/>
  <c r="D4" i="1"/>
  <c r="F9" i="1"/>
  <c r="F3" i="1"/>
  <c r="E3" i="1"/>
  <c r="D3" i="1"/>
  <c r="F2" i="1"/>
  <c r="E2" i="1"/>
  <c r="D2" i="1"/>
  <c r="F15" i="1"/>
  <c r="E15" i="1"/>
  <c r="D15" i="1"/>
  <c r="F14" i="1"/>
  <c r="E14" i="1"/>
  <c r="D14" i="1"/>
</calcChain>
</file>

<file path=xl/sharedStrings.xml><?xml version="1.0" encoding="utf-8"?>
<sst xmlns="http://schemas.openxmlformats.org/spreadsheetml/2006/main" count="570" uniqueCount="31">
  <si>
    <t>vial</t>
  </si>
  <si>
    <t>time</t>
  </si>
  <si>
    <t>antibiotic</t>
  </si>
  <si>
    <t>M1</t>
  </si>
  <si>
    <t>0h</t>
  </si>
  <si>
    <t>KAN</t>
  </si>
  <si>
    <t>COL</t>
  </si>
  <si>
    <t>M2</t>
  </si>
  <si>
    <t>M3</t>
  </si>
  <si>
    <t>M4</t>
  </si>
  <si>
    <t>M5</t>
  </si>
  <si>
    <t>PL</t>
  </si>
  <si>
    <t>PM</t>
  </si>
  <si>
    <t>LM</t>
  </si>
  <si>
    <t>M0</t>
  </si>
  <si>
    <t>20h</t>
  </si>
  <si>
    <t>44h</t>
  </si>
  <si>
    <t>68h</t>
  </si>
  <si>
    <t>92h</t>
  </si>
  <si>
    <t>116h</t>
  </si>
  <si>
    <t>140h</t>
  </si>
  <si>
    <t>164h</t>
  </si>
  <si>
    <t>188h</t>
  </si>
  <si>
    <t>212h</t>
  </si>
  <si>
    <t>236h</t>
  </si>
  <si>
    <t>284h</t>
  </si>
  <si>
    <t>260h</t>
  </si>
  <si>
    <t>314h</t>
  </si>
  <si>
    <t>332h</t>
  </si>
  <si>
    <t>356h</t>
  </si>
  <si>
    <t>455h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</si>
</sst>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2" fillId="0" borderId="0" xfId="0" applyFont="1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8B656-94DD-4A46-A15D-F4805EB4FF3B}">
  <dimension ref="A1:F189"/>
  <sheetViews>
    <sheetView tabSelected="1" topLeftCell="A164" zoomScale="85" zoomScaleNormal="85" workbookViewId="0">
      <selection activeCell="D188" sqref="D188:F189"/>
    </sheetView>
  </sheetViews>
  <sheetFormatPr baseColWidth="10" defaultRowHeight="15" x14ac:dyDescent="0.25"/>
  <cols>
    <col min="4" max="4" width="11.425781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11</v>
      </c>
      <c r="E1" t="s">
        <v>12</v>
      </c>
      <c r="F1" t="s">
        <v>13</v>
      </c>
    </row>
    <row r="2" spans="1:6" x14ac:dyDescent="0.25">
      <c r="A2" t="s">
        <v>14</v>
      </c>
      <c r="B2" t="s">
        <v>4</v>
      </c>
      <c r="C2" t="s">
        <v>5</v>
      </c>
      <c r="D2" s="1">
        <f>(33*(10^4))/0.01</f>
        <v>33000000</v>
      </c>
      <c r="E2" s="1">
        <f>(4*(10^5))/0.01</f>
        <v>40000000</v>
      </c>
      <c r="F2" s="1">
        <f>(7*(10^5))/0.01</f>
        <v>70000000</v>
      </c>
    </row>
    <row r="3" spans="1:6" x14ac:dyDescent="0.25">
      <c r="A3" t="s">
        <v>3</v>
      </c>
      <c r="B3" t="s">
        <v>4</v>
      </c>
      <c r="C3" t="s">
        <v>5</v>
      </c>
      <c r="D3" s="1">
        <f>(4*(10^5))/0.01</f>
        <v>40000000</v>
      </c>
      <c r="E3" s="1">
        <f>(4*(10^5))/0.01</f>
        <v>40000000</v>
      </c>
      <c r="F3" s="1">
        <f>(14*(10^5))/0.01</f>
        <v>140000000</v>
      </c>
    </row>
    <row r="4" spans="1:6" x14ac:dyDescent="0.25">
      <c r="A4" t="s">
        <v>7</v>
      </c>
      <c r="B4" t="s">
        <v>4</v>
      </c>
      <c r="C4" t="s">
        <v>5</v>
      </c>
      <c r="D4" s="1">
        <f>(32*(10^4))/0.01</f>
        <v>32000000</v>
      </c>
      <c r="E4" s="1">
        <f>(26*(10^4))/0.01</f>
        <v>26000000</v>
      </c>
      <c r="F4" s="1">
        <f>(5*(10^5))/0.01</f>
        <v>50000000</v>
      </c>
    </row>
    <row r="5" spans="1:6" x14ac:dyDescent="0.25">
      <c r="A5" t="s">
        <v>8</v>
      </c>
      <c r="B5" t="s">
        <v>4</v>
      </c>
      <c r="C5" t="s">
        <v>5</v>
      </c>
      <c r="D5" s="1">
        <f>(12*(10^5))/0.01</f>
        <v>120000000</v>
      </c>
      <c r="E5" s="1">
        <f>(3*(10^5))/0.01</f>
        <v>30000000</v>
      </c>
      <c r="F5" s="1">
        <f>(15*(10^5))/0.01</f>
        <v>150000000</v>
      </c>
    </row>
    <row r="6" spans="1:6" x14ac:dyDescent="0.25">
      <c r="A6" t="s">
        <v>9</v>
      </c>
      <c r="B6" t="s">
        <v>4</v>
      </c>
      <c r="C6" t="s">
        <v>5</v>
      </c>
      <c r="D6" s="1">
        <f>(35*(10^4))/0.01</f>
        <v>35000000</v>
      </c>
      <c r="E6" s="1">
        <f>(32*(10^4))/0.01</f>
        <v>32000000</v>
      </c>
      <c r="F6" s="2">
        <f>(9*(10^5))/0.01</f>
        <v>90000000</v>
      </c>
    </row>
    <row r="7" spans="1:6" x14ac:dyDescent="0.25">
      <c r="A7" t="s">
        <v>10</v>
      </c>
      <c r="B7" t="s">
        <v>4</v>
      </c>
      <c r="C7" t="s">
        <v>5</v>
      </c>
      <c r="D7" s="1">
        <f>(21*(10^4))/0.01</f>
        <v>21000000</v>
      </c>
      <c r="E7" s="1">
        <f>(26*(10^4))/0.01</f>
        <v>26000000</v>
      </c>
      <c r="F7" s="1">
        <f>(17*(10^5))/0.01</f>
        <v>170000000</v>
      </c>
    </row>
    <row r="8" spans="1:6" x14ac:dyDescent="0.25">
      <c r="A8" t="s">
        <v>14</v>
      </c>
      <c r="B8" t="s">
        <v>4</v>
      </c>
      <c r="C8" t="s">
        <v>6</v>
      </c>
      <c r="D8" s="1">
        <v>0</v>
      </c>
      <c r="E8" s="1">
        <v>0</v>
      </c>
      <c r="F8" s="1">
        <v>0</v>
      </c>
    </row>
    <row r="9" spans="1:6" x14ac:dyDescent="0.25">
      <c r="A9" t="s">
        <v>3</v>
      </c>
      <c r="B9" t="s">
        <v>4</v>
      </c>
      <c r="C9" t="s">
        <v>6</v>
      </c>
      <c r="D9" s="1">
        <v>0</v>
      </c>
      <c r="E9" s="1">
        <v>0</v>
      </c>
      <c r="F9" s="1">
        <f>(13*(10^5))/0.01</f>
        <v>130000000</v>
      </c>
    </row>
    <row r="10" spans="1:6" x14ac:dyDescent="0.25">
      <c r="A10" t="s">
        <v>7</v>
      </c>
      <c r="B10" t="s">
        <v>4</v>
      </c>
      <c r="C10" t="s">
        <v>6</v>
      </c>
      <c r="D10" s="1">
        <v>0</v>
      </c>
      <c r="E10" s="1">
        <v>0</v>
      </c>
      <c r="F10" s="1">
        <v>0</v>
      </c>
    </row>
    <row r="11" spans="1:6" x14ac:dyDescent="0.25">
      <c r="A11" t="s">
        <v>8</v>
      </c>
      <c r="B11" t="s">
        <v>4</v>
      </c>
      <c r="C11" t="s">
        <v>6</v>
      </c>
      <c r="D11" s="1">
        <v>0</v>
      </c>
      <c r="E11" s="1">
        <v>0</v>
      </c>
      <c r="F11" s="1">
        <f>(11*(10^5))/0.01</f>
        <v>110000000</v>
      </c>
    </row>
    <row r="12" spans="1:6" x14ac:dyDescent="0.25">
      <c r="A12" t="s">
        <v>9</v>
      </c>
      <c r="B12" t="s">
        <v>4</v>
      </c>
      <c r="C12" t="s">
        <v>6</v>
      </c>
      <c r="D12" s="1">
        <v>0</v>
      </c>
      <c r="E12" s="1">
        <v>0</v>
      </c>
      <c r="F12" s="1">
        <v>0</v>
      </c>
    </row>
    <row r="13" spans="1:6" x14ac:dyDescent="0.25">
      <c r="A13" t="s">
        <v>10</v>
      </c>
      <c r="B13" t="s">
        <v>4</v>
      </c>
      <c r="C13" t="s">
        <v>6</v>
      </c>
      <c r="D13" s="1">
        <v>0</v>
      </c>
      <c r="E13" s="1">
        <v>0</v>
      </c>
      <c r="F13" s="1">
        <f>(16*(10^5))/0.01</f>
        <v>160000000</v>
      </c>
    </row>
    <row r="14" spans="1:6" x14ac:dyDescent="0.25">
      <c r="A14" t="s">
        <v>14</v>
      </c>
      <c r="B14" t="s">
        <v>15</v>
      </c>
      <c r="C14" t="s">
        <v>5</v>
      </c>
      <c r="D14" s="1">
        <f>(2*(10^5))/0.01</f>
        <v>20000000</v>
      </c>
      <c r="E14" s="1">
        <f>(6*(10^5))/0.01</f>
        <v>60000000</v>
      </c>
      <c r="F14" s="1">
        <f>(14*(10^5))/0.01</f>
        <v>140000000</v>
      </c>
    </row>
    <row r="15" spans="1:6" x14ac:dyDescent="0.25">
      <c r="A15" t="s">
        <v>3</v>
      </c>
      <c r="B15" t="s">
        <v>15</v>
      </c>
      <c r="C15" t="s">
        <v>5</v>
      </c>
      <c r="D15" s="1">
        <f>(2*(10^5))/0.01</f>
        <v>20000000</v>
      </c>
      <c r="E15" s="1">
        <f>(5*(10^5))/0.01</f>
        <v>50000000</v>
      </c>
      <c r="F15" s="1">
        <f>(11*(10^5))/0.01</f>
        <v>110000000</v>
      </c>
    </row>
    <row r="16" spans="1:6" x14ac:dyDescent="0.25">
      <c r="A16" t="s">
        <v>7</v>
      </c>
      <c r="B16" t="s">
        <v>15</v>
      </c>
      <c r="C16" t="s">
        <v>5</v>
      </c>
      <c r="D16" s="1">
        <f>(31*(10^4))/0.01</f>
        <v>31000000</v>
      </c>
      <c r="E16" s="1">
        <f>(10*(10^5))/0.01</f>
        <v>100000000</v>
      </c>
      <c r="F16" s="1">
        <f>(8*(10^5))/0.01</f>
        <v>80000000</v>
      </c>
    </row>
    <row r="17" spans="1:6" x14ac:dyDescent="0.25">
      <c r="A17" t="s">
        <v>8</v>
      </c>
      <c r="B17" t="s">
        <v>15</v>
      </c>
      <c r="C17" t="s">
        <v>5</v>
      </c>
      <c r="D17" s="1">
        <f>(10*(10^4))/0.01</f>
        <v>10000000</v>
      </c>
      <c r="E17" s="1">
        <f>(12*(10^4))/0.01</f>
        <v>12000000</v>
      </c>
      <c r="F17" s="1">
        <f>(10*(10^5))/0.01</f>
        <v>100000000</v>
      </c>
    </row>
    <row r="18" spans="1:6" x14ac:dyDescent="0.25">
      <c r="A18" t="s">
        <v>9</v>
      </c>
      <c r="B18" t="s">
        <v>15</v>
      </c>
      <c r="C18" t="s">
        <v>5</v>
      </c>
      <c r="D18" s="1">
        <f>(9*(10^4))/0.01</f>
        <v>9000000</v>
      </c>
      <c r="E18" s="1">
        <f>(14*(10^4))/0.01</f>
        <v>14000000</v>
      </c>
      <c r="F18" s="1">
        <f>(18*(10^4))/0.01</f>
        <v>18000000</v>
      </c>
    </row>
    <row r="19" spans="1:6" x14ac:dyDescent="0.25">
      <c r="A19" t="s">
        <v>10</v>
      </c>
      <c r="B19" t="s">
        <v>15</v>
      </c>
      <c r="C19" t="s">
        <v>5</v>
      </c>
      <c r="D19" s="2">
        <f>(4*(10^2))/0.01</f>
        <v>40000</v>
      </c>
      <c r="E19" s="2">
        <f>(1*(10^3))/0.01</f>
        <v>100000</v>
      </c>
      <c r="F19" s="1">
        <f>(17*(10^5))/0.01</f>
        <v>170000000</v>
      </c>
    </row>
    <row r="20" spans="1:6" x14ac:dyDescent="0.25">
      <c r="A20" t="s">
        <v>14</v>
      </c>
      <c r="B20" t="s">
        <v>15</v>
      </c>
      <c r="C20" t="s">
        <v>6</v>
      </c>
      <c r="D20" s="1">
        <v>0</v>
      </c>
      <c r="E20" s="1">
        <v>0</v>
      </c>
      <c r="F20" s="1">
        <v>0</v>
      </c>
    </row>
    <row r="21" spans="1:6" x14ac:dyDescent="0.25">
      <c r="A21" t="s">
        <v>3</v>
      </c>
      <c r="B21" t="s">
        <v>15</v>
      </c>
      <c r="C21" t="s">
        <v>6</v>
      </c>
      <c r="D21" s="1">
        <v>0</v>
      </c>
      <c r="E21" s="1">
        <v>0</v>
      </c>
      <c r="F21" s="1">
        <f>(13*(10^5))/0.01</f>
        <v>130000000</v>
      </c>
    </row>
    <row r="22" spans="1:6" x14ac:dyDescent="0.25">
      <c r="A22" t="s">
        <v>7</v>
      </c>
      <c r="B22" t="s">
        <v>15</v>
      </c>
      <c r="C22" t="s">
        <v>6</v>
      </c>
      <c r="D22" s="1">
        <v>0</v>
      </c>
      <c r="E22" s="1">
        <v>0</v>
      </c>
      <c r="F22" s="1">
        <v>0</v>
      </c>
    </row>
    <row r="23" spans="1:6" x14ac:dyDescent="0.25">
      <c r="A23" t="s">
        <v>8</v>
      </c>
      <c r="B23" t="s">
        <v>15</v>
      </c>
      <c r="C23" t="s">
        <v>6</v>
      </c>
      <c r="D23" s="1">
        <v>0</v>
      </c>
      <c r="E23" s="1">
        <v>0</v>
      </c>
      <c r="F23" s="1">
        <f>(122*(10^4))/0.01</f>
        <v>122000000</v>
      </c>
    </row>
    <row r="24" spans="1:6" x14ac:dyDescent="0.25">
      <c r="A24" t="s">
        <v>9</v>
      </c>
      <c r="B24" t="s">
        <v>15</v>
      </c>
      <c r="C24" t="s">
        <v>6</v>
      </c>
      <c r="D24" s="1">
        <v>0</v>
      </c>
      <c r="E24" s="1">
        <v>0</v>
      </c>
      <c r="F24" s="1">
        <v>0</v>
      </c>
    </row>
    <row r="25" spans="1:6" x14ac:dyDescent="0.25">
      <c r="A25" t="s">
        <v>10</v>
      </c>
      <c r="B25" t="s">
        <v>15</v>
      </c>
      <c r="C25" t="s">
        <v>6</v>
      </c>
      <c r="D25" s="1">
        <v>0</v>
      </c>
      <c r="E25" s="1">
        <v>0</v>
      </c>
      <c r="F25" s="1">
        <f>(16*(10^5))/0.01</f>
        <v>160000000</v>
      </c>
    </row>
    <row r="26" spans="1:6" x14ac:dyDescent="0.25">
      <c r="A26" t="s">
        <v>14</v>
      </c>
      <c r="B26" t="s">
        <v>16</v>
      </c>
      <c r="C26" t="s">
        <v>5</v>
      </c>
      <c r="D26" s="1">
        <f>(15*(10^4))/0.01</f>
        <v>15000000</v>
      </c>
      <c r="E26" s="1">
        <f>(19*(10^4))/0.01</f>
        <v>19000000</v>
      </c>
      <c r="F26" s="1">
        <f>(71*(10^4))/0.01</f>
        <v>71000000</v>
      </c>
    </row>
    <row r="27" spans="1:6" x14ac:dyDescent="0.25">
      <c r="A27" t="s">
        <v>3</v>
      </c>
      <c r="B27" t="s">
        <v>16</v>
      </c>
      <c r="C27" t="s">
        <v>5</v>
      </c>
      <c r="D27" s="1">
        <f>(33*(10^4))/0.01</f>
        <v>33000000</v>
      </c>
      <c r="E27" s="1">
        <f>(6*(10^5))/0.01</f>
        <v>60000000</v>
      </c>
      <c r="F27" s="1">
        <f>(8*(10^5))/0.01</f>
        <v>80000000</v>
      </c>
    </row>
    <row r="28" spans="1:6" x14ac:dyDescent="0.25">
      <c r="A28" t="s">
        <v>7</v>
      </c>
      <c r="B28" t="s">
        <v>16</v>
      </c>
      <c r="C28" t="s">
        <v>5</v>
      </c>
      <c r="D28" s="1">
        <f>(7*(10^4))/0.01</f>
        <v>7000000</v>
      </c>
      <c r="E28" s="1">
        <f>(12*(10^4))/0.01</f>
        <v>12000000</v>
      </c>
      <c r="F28" s="1">
        <f>(42*(10^4))/0.01</f>
        <v>42000000</v>
      </c>
    </row>
    <row r="29" spans="1:6" x14ac:dyDescent="0.25">
      <c r="A29" t="s">
        <v>8</v>
      </c>
      <c r="B29" t="s">
        <v>16</v>
      </c>
      <c r="C29" t="s">
        <v>5</v>
      </c>
      <c r="D29" s="1">
        <f>(15*(10^4))/0.01</f>
        <v>15000000</v>
      </c>
      <c r="E29" s="1">
        <f>(12*(10^4))/0.01</f>
        <v>12000000</v>
      </c>
      <c r="F29" s="1">
        <f>(11*(10^5))/0.01</f>
        <v>110000000</v>
      </c>
    </row>
    <row r="30" spans="1:6" x14ac:dyDescent="0.25">
      <c r="A30" t="s">
        <v>9</v>
      </c>
      <c r="B30" t="s">
        <v>16</v>
      </c>
      <c r="C30" t="s">
        <v>5</v>
      </c>
      <c r="D30" s="1">
        <f>(7*(10^4))/0.01</f>
        <v>7000000</v>
      </c>
      <c r="E30" s="1">
        <f>(2*(10^4))/0.01</f>
        <v>2000000</v>
      </c>
      <c r="F30" s="1">
        <f>(3*(10^4))/0.01</f>
        <v>3000000</v>
      </c>
    </row>
    <row r="31" spans="1:6" x14ac:dyDescent="0.25">
      <c r="A31" t="s">
        <v>10</v>
      </c>
      <c r="B31" t="s">
        <v>16</v>
      </c>
      <c r="C31" t="s">
        <v>5</v>
      </c>
      <c r="D31" s="2">
        <f>(2*(10^3))/0.01</f>
        <v>200000</v>
      </c>
      <c r="E31" s="2">
        <f>(1*(10^3))/0.01</f>
        <v>100000</v>
      </c>
      <c r="F31" s="1">
        <f>(75*(10^4))/0.01</f>
        <v>75000000</v>
      </c>
    </row>
    <row r="32" spans="1:6" x14ac:dyDescent="0.25">
      <c r="A32" t="s">
        <v>14</v>
      </c>
      <c r="B32" t="s">
        <v>16</v>
      </c>
      <c r="C32" t="s">
        <v>6</v>
      </c>
      <c r="D32" s="1">
        <v>0</v>
      </c>
      <c r="E32" s="1">
        <v>0</v>
      </c>
      <c r="F32" s="1">
        <v>0</v>
      </c>
    </row>
    <row r="33" spans="1:6" x14ac:dyDescent="0.25">
      <c r="A33" t="s">
        <v>3</v>
      </c>
      <c r="B33" t="s">
        <v>16</v>
      </c>
      <c r="C33" t="s">
        <v>6</v>
      </c>
      <c r="D33" s="1">
        <v>0</v>
      </c>
      <c r="E33" s="1">
        <v>0</v>
      </c>
      <c r="F33" s="1">
        <f>(72*(10^4))/0.01</f>
        <v>72000000</v>
      </c>
    </row>
    <row r="34" spans="1:6" x14ac:dyDescent="0.25">
      <c r="A34" t="s">
        <v>7</v>
      </c>
      <c r="B34" t="s">
        <v>16</v>
      </c>
      <c r="C34" t="s">
        <v>6</v>
      </c>
      <c r="D34" s="1">
        <v>0</v>
      </c>
      <c r="E34" s="1">
        <v>0</v>
      </c>
      <c r="F34" s="1">
        <v>0</v>
      </c>
    </row>
    <row r="35" spans="1:6" x14ac:dyDescent="0.25">
      <c r="A35" t="s">
        <v>8</v>
      </c>
      <c r="B35" t="s">
        <v>16</v>
      </c>
      <c r="C35" t="s">
        <v>6</v>
      </c>
      <c r="D35" s="1">
        <v>0</v>
      </c>
      <c r="E35" s="1">
        <v>0</v>
      </c>
      <c r="F35" s="1">
        <f>(61*(10^4))/0.01</f>
        <v>61000000</v>
      </c>
    </row>
    <row r="36" spans="1:6" x14ac:dyDescent="0.25">
      <c r="A36" t="s">
        <v>9</v>
      </c>
      <c r="B36" t="s">
        <v>16</v>
      </c>
      <c r="C36" t="s">
        <v>6</v>
      </c>
      <c r="D36" s="1">
        <v>0</v>
      </c>
      <c r="E36" s="1">
        <v>0</v>
      </c>
      <c r="F36" s="1">
        <v>0</v>
      </c>
    </row>
    <row r="37" spans="1:6" x14ac:dyDescent="0.25">
      <c r="A37" t="s">
        <v>10</v>
      </c>
      <c r="B37" t="s">
        <v>16</v>
      </c>
      <c r="C37" t="s">
        <v>6</v>
      </c>
      <c r="D37" s="1">
        <v>0</v>
      </c>
      <c r="E37" s="1">
        <v>0</v>
      </c>
      <c r="F37" s="1">
        <f>(61*(10^4))/0.01</f>
        <v>61000000</v>
      </c>
    </row>
    <row r="38" spans="1:6" x14ac:dyDescent="0.25">
      <c r="A38" t="s">
        <v>14</v>
      </c>
      <c r="B38" t="s">
        <v>17</v>
      </c>
      <c r="C38" t="s">
        <v>5</v>
      </c>
      <c r="D38" s="1">
        <f>(17*(10^5))/0.01</f>
        <v>170000000</v>
      </c>
      <c r="E38" s="1">
        <f>(18*(10^5))/0.01</f>
        <v>180000000</v>
      </c>
      <c r="F38" s="1">
        <f>(1*(10^5))/0.01</f>
        <v>10000000</v>
      </c>
    </row>
    <row r="39" spans="1:6" x14ac:dyDescent="0.25">
      <c r="A39" t="s">
        <v>3</v>
      </c>
      <c r="B39" t="s">
        <v>17</v>
      </c>
      <c r="C39" t="s">
        <v>5</v>
      </c>
      <c r="D39" s="1">
        <f>(18*(10^5))/0.01</f>
        <v>180000000</v>
      </c>
      <c r="E39" s="1">
        <f>(13*(10^5))/0.01</f>
        <v>130000000</v>
      </c>
      <c r="F39" s="1">
        <f>(1*(10^5))/0.01</f>
        <v>10000000</v>
      </c>
    </row>
    <row r="40" spans="1:6" x14ac:dyDescent="0.25">
      <c r="A40" t="s">
        <v>7</v>
      </c>
      <c r="B40" t="s">
        <v>17</v>
      </c>
      <c r="C40" t="s">
        <v>5</v>
      </c>
      <c r="D40" s="1">
        <f>(47*(10^4))/0.01</f>
        <v>47000000</v>
      </c>
      <c r="E40" s="1">
        <f>(27*(10^4))/0.01</f>
        <v>27000000</v>
      </c>
      <c r="F40" s="1">
        <f>(18*(10^4))/0.01</f>
        <v>18000000</v>
      </c>
    </row>
    <row r="41" spans="1:6" x14ac:dyDescent="0.25">
      <c r="A41" t="s">
        <v>8</v>
      </c>
      <c r="B41" t="s">
        <v>17</v>
      </c>
      <c r="C41" t="s">
        <v>5</v>
      </c>
      <c r="D41" s="1">
        <f>(7*(10^4))/0.01</f>
        <v>7000000</v>
      </c>
      <c r="E41" s="1">
        <f>(6*(10^4))/0.01</f>
        <v>6000000</v>
      </c>
      <c r="F41" s="1">
        <f>(51*(10^4))/0.01</f>
        <v>51000000</v>
      </c>
    </row>
    <row r="42" spans="1:6" x14ac:dyDescent="0.25">
      <c r="A42" t="s">
        <v>9</v>
      </c>
      <c r="B42" t="s">
        <v>17</v>
      </c>
      <c r="C42" t="s">
        <v>5</v>
      </c>
      <c r="D42" s="1">
        <f>(24*(10^3))/0.01</f>
        <v>2400000</v>
      </c>
      <c r="E42" s="1">
        <f>(11*(10^3))/0.01</f>
        <v>1100000</v>
      </c>
      <c r="F42" s="1">
        <f>(1*(10^2))/0.01</f>
        <v>10000</v>
      </c>
    </row>
    <row r="43" spans="1:6" x14ac:dyDescent="0.25">
      <c r="A43" t="s">
        <v>10</v>
      </c>
      <c r="B43" t="s">
        <v>17</v>
      </c>
      <c r="C43" t="s">
        <v>5</v>
      </c>
      <c r="D43" s="2">
        <f>(1*(10^1))/0.01</f>
        <v>1000</v>
      </c>
      <c r="E43" s="2">
        <f>(8*(10^3))/0.01</f>
        <v>800000</v>
      </c>
      <c r="F43" s="1">
        <f>(48*(10^4))/0.01</f>
        <v>48000000</v>
      </c>
    </row>
    <row r="44" spans="1:6" x14ac:dyDescent="0.25">
      <c r="A44" t="s">
        <v>14</v>
      </c>
      <c r="B44" t="s">
        <v>17</v>
      </c>
      <c r="C44" t="s">
        <v>6</v>
      </c>
      <c r="D44" s="1">
        <v>0</v>
      </c>
      <c r="E44" s="1">
        <v>0</v>
      </c>
      <c r="F44" s="1">
        <v>0</v>
      </c>
    </row>
    <row r="45" spans="1:6" x14ac:dyDescent="0.25">
      <c r="A45" t="s">
        <v>3</v>
      </c>
      <c r="B45" t="s">
        <v>17</v>
      </c>
      <c r="C45" t="s">
        <v>6</v>
      </c>
      <c r="D45" s="1">
        <f>(1*(10^2))/0.01</f>
        <v>10000</v>
      </c>
      <c r="E45" s="1">
        <v>0</v>
      </c>
      <c r="F45" s="1">
        <f>(23*(10^4))/0.01</f>
        <v>23000000</v>
      </c>
    </row>
    <row r="46" spans="1:6" x14ac:dyDescent="0.25">
      <c r="A46" t="s">
        <v>7</v>
      </c>
      <c r="B46" t="s">
        <v>17</v>
      </c>
      <c r="C46" t="s">
        <v>6</v>
      </c>
      <c r="D46" s="1">
        <v>0</v>
      </c>
      <c r="E46" s="1">
        <v>0</v>
      </c>
      <c r="F46" s="1">
        <v>0</v>
      </c>
    </row>
    <row r="47" spans="1:6" x14ac:dyDescent="0.25">
      <c r="A47" t="s">
        <v>8</v>
      </c>
      <c r="B47" t="s">
        <v>17</v>
      </c>
      <c r="C47" t="s">
        <v>6</v>
      </c>
      <c r="D47" s="1">
        <v>0</v>
      </c>
      <c r="E47" s="1">
        <v>0</v>
      </c>
      <c r="F47" s="1">
        <f>(52*(10^4))/0.01</f>
        <v>52000000</v>
      </c>
    </row>
    <row r="48" spans="1:6" x14ac:dyDescent="0.25">
      <c r="A48" t="s">
        <v>9</v>
      </c>
      <c r="B48" t="s">
        <v>17</v>
      </c>
      <c r="C48" t="s">
        <v>6</v>
      </c>
      <c r="D48" s="1">
        <v>0</v>
      </c>
      <c r="E48" s="1">
        <v>0</v>
      </c>
      <c r="F48" s="1">
        <v>0</v>
      </c>
    </row>
    <row r="49" spans="1:6" x14ac:dyDescent="0.25">
      <c r="A49" t="s">
        <v>10</v>
      </c>
      <c r="B49" t="s">
        <v>17</v>
      </c>
      <c r="C49" t="s">
        <v>6</v>
      </c>
      <c r="D49" s="1">
        <v>0</v>
      </c>
      <c r="E49" s="1">
        <v>0</v>
      </c>
      <c r="F49" s="1">
        <f>(5*(10^5))/0.01</f>
        <v>50000000</v>
      </c>
    </row>
    <row r="50" spans="1:6" x14ac:dyDescent="0.25">
      <c r="A50" t="s">
        <v>14</v>
      </c>
      <c r="B50" t="s">
        <v>18</v>
      </c>
      <c r="C50" t="s">
        <v>5</v>
      </c>
      <c r="D50" s="1">
        <f>(5*(10^5))/0.01</f>
        <v>50000000</v>
      </c>
      <c r="E50" s="1">
        <f>(16*(10^5))/0.01</f>
        <v>160000000</v>
      </c>
      <c r="F50" s="1">
        <v>0</v>
      </c>
    </row>
    <row r="51" spans="1:6" x14ac:dyDescent="0.25">
      <c r="A51" t="s">
        <v>3</v>
      </c>
      <c r="B51" t="s">
        <v>18</v>
      </c>
      <c r="C51" t="s">
        <v>5</v>
      </c>
      <c r="D51" s="1">
        <f>(7*(10^5))/0.01</f>
        <v>70000000</v>
      </c>
      <c r="E51" s="1">
        <f>(6*(10^5))/0.01</f>
        <v>60000000</v>
      </c>
      <c r="F51" s="1">
        <f>(9*(10^4))/0.01</f>
        <v>9000000</v>
      </c>
    </row>
    <row r="52" spans="1:6" x14ac:dyDescent="0.25">
      <c r="A52" t="s">
        <v>7</v>
      </c>
      <c r="B52" t="s">
        <v>18</v>
      </c>
      <c r="C52" t="s">
        <v>5</v>
      </c>
      <c r="D52" s="1">
        <f>(9*(10^5))/0.01</f>
        <v>90000000</v>
      </c>
      <c r="E52" s="1">
        <f>(18*(10^5))/0.01</f>
        <v>180000000</v>
      </c>
      <c r="F52" s="1">
        <f>(1*(10^5))/0.01</f>
        <v>10000000</v>
      </c>
    </row>
    <row r="53" spans="1:6" x14ac:dyDescent="0.25">
      <c r="A53" t="s">
        <v>8</v>
      </c>
      <c r="B53" t="s">
        <v>18</v>
      </c>
      <c r="C53" t="s">
        <v>5</v>
      </c>
      <c r="D53" s="1">
        <f>(2*(10^4))/0.01</f>
        <v>2000000</v>
      </c>
      <c r="E53" s="1">
        <f>(6*(10^4))/0.01</f>
        <v>6000000</v>
      </c>
      <c r="F53" s="1">
        <f>(29*(10^4))/0.01</f>
        <v>29000000</v>
      </c>
    </row>
    <row r="54" spans="1:6" x14ac:dyDescent="0.25">
      <c r="A54" t="s">
        <v>9</v>
      </c>
      <c r="B54" t="s">
        <v>18</v>
      </c>
      <c r="C54" t="s">
        <v>5</v>
      </c>
      <c r="D54" s="1">
        <f>(27*(10^2))/0.01</f>
        <v>270000</v>
      </c>
      <c r="E54" s="1">
        <f>(6*(10^2))/0.01</f>
        <v>60000</v>
      </c>
      <c r="F54" s="1">
        <f>(1*(10^2))/0.01</f>
        <v>10000</v>
      </c>
    </row>
    <row r="55" spans="1:6" x14ac:dyDescent="0.25">
      <c r="A55" t="s">
        <v>10</v>
      </c>
      <c r="B55" t="s">
        <v>18</v>
      </c>
      <c r="C55" t="s">
        <v>5</v>
      </c>
      <c r="D55" s="2">
        <f>(1*(10^0))/0.01</f>
        <v>100</v>
      </c>
      <c r="E55" s="2">
        <v>0</v>
      </c>
      <c r="F55" s="1">
        <f>(17*(10^4))/0.01</f>
        <v>17000000</v>
      </c>
    </row>
    <row r="56" spans="1:6" x14ac:dyDescent="0.25">
      <c r="A56" t="s">
        <v>14</v>
      </c>
      <c r="B56" t="s">
        <v>18</v>
      </c>
      <c r="C56" t="s">
        <v>6</v>
      </c>
      <c r="D56" s="1">
        <v>0</v>
      </c>
      <c r="E56" s="1">
        <v>0</v>
      </c>
      <c r="F56" s="1">
        <v>0</v>
      </c>
    </row>
    <row r="57" spans="1:6" x14ac:dyDescent="0.25">
      <c r="A57" t="s">
        <v>3</v>
      </c>
      <c r="B57" t="s">
        <v>18</v>
      </c>
      <c r="C57" t="s">
        <v>6</v>
      </c>
      <c r="D57" s="1">
        <v>0</v>
      </c>
      <c r="E57" s="1">
        <v>0</v>
      </c>
      <c r="F57" s="1">
        <f>(80*(10^3))/0.01</f>
        <v>8000000</v>
      </c>
    </row>
    <row r="58" spans="1:6" x14ac:dyDescent="0.25">
      <c r="A58" t="s">
        <v>7</v>
      </c>
      <c r="B58" t="s">
        <v>18</v>
      </c>
      <c r="C58" t="s">
        <v>6</v>
      </c>
      <c r="D58" s="1">
        <v>0</v>
      </c>
      <c r="E58" s="1">
        <v>0</v>
      </c>
      <c r="F58" s="1">
        <v>0</v>
      </c>
    </row>
    <row r="59" spans="1:6" x14ac:dyDescent="0.25">
      <c r="A59" t="s">
        <v>8</v>
      </c>
      <c r="B59" t="s">
        <v>18</v>
      </c>
      <c r="C59" t="s">
        <v>6</v>
      </c>
      <c r="D59" s="1">
        <v>0</v>
      </c>
      <c r="E59" s="1">
        <v>0</v>
      </c>
      <c r="F59" s="1">
        <f>(29*(10^4))/0.01</f>
        <v>29000000</v>
      </c>
    </row>
    <row r="60" spans="1:6" x14ac:dyDescent="0.25">
      <c r="A60" t="s">
        <v>9</v>
      </c>
      <c r="B60" t="s">
        <v>18</v>
      </c>
      <c r="C60" t="s">
        <v>6</v>
      </c>
      <c r="D60" s="1">
        <v>0</v>
      </c>
      <c r="E60" s="1">
        <v>0</v>
      </c>
      <c r="F60" s="1">
        <v>0</v>
      </c>
    </row>
    <row r="61" spans="1:6" x14ac:dyDescent="0.25">
      <c r="A61" t="s">
        <v>10</v>
      </c>
      <c r="B61" t="s">
        <v>18</v>
      </c>
      <c r="C61" t="s">
        <v>6</v>
      </c>
      <c r="D61" s="1">
        <v>0</v>
      </c>
      <c r="E61" s="1">
        <v>0</v>
      </c>
      <c r="F61" s="1">
        <f>(15*(10^4))/0.01</f>
        <v>15000000</v>
      </c>
    </row>
    <row r="62" spans="1:6" x14ac:dyDescent="0.25">
      <c r="A62" t="s">
        <v>14</v>
      </c>
      <c r="B62" t="s">
        <v>19</v>
      </c>
      <c r="C62" t="s">
        <v>5</v>
      </c>
      <c r="D62" s="1">
        <f>(4*(10^5))/0.01</f>
        <v>40000000</v>
      </c>
      <c r="E62" s="1">
        <f>(10*(10^5))/0.01</f>
        <v>100000000</v>
      </c>
      <c r="F62" s="1">
        <f>(1*(10^4))/0.01</f>
        <v>1000000</v>
      </c>
    </row>
    <row r="63" spans="1:6" x14ac:dyDescent="0.25">
      <c r="A63" t="s">
        <v>3</v>
      </c>
      <c r="B63" t="s">
        <v>19</v>
      </c>
      <c r="C63" t="s">
        <v>5</v>
      </c>
      <c r="D63" s="1">
        <f>(56*(10^4))/0.01</f>
        <v>56000000</v>
      </c>
      <c r="E63" s="1">
        <f>(44*(10^4))/0.01</f>
        <v>44000000</v>
      </c>
      <c r="F63" s="1">
        <f>(3*(10^4))/0.01</f>
        <v>3000000</v>
      </c>
    </row>
    <row r="64" spans="1:6" x14ac:dyDescent="0.25">
      <c r="A64" t="s">
        <v>7</v>
      </c>
      <c r="B64" t="s">
        <v>19</v>
      </c>
      <c r="C64" t="s">
        <v>5</v>
      </c>
      <c r="D64" s="1">
        <f>(12*(10^5))/0.01</f>
        <v>120000000</v>
      </c>
      <c r="E64" s="1">
        <f>(15*(10^5))/0.01</f>
        <v>150000000</v>
      </c>
      <c r="F64" s="1">
        <v>0</v>
      </c>
    </row>
    <row r="65" spans="1:6" x14ac:dyDescent="0.25">
      <c r="A65" t="s">
        <v>8</v>
      </c>
      <c r="B65" t="s">
        <v>19</v>
      </c>
      <c r="C65" t="s">
        <v>5</v>
      </c>
      <c r="D65" s="1">
        <f>(15*(10^4))/0.01</f>
        <v>15000000</v>
      </c>
      <c r="E65" s="1">
        <f>(4*(10^4))/0.01</f>
        <v>4000000</v>
      </c>
      <c r="F65" s="1">
        <f>(22*(10^4))/0.01</f>
        <v>22000000</v>
      </c>
    </row>
    <row r="66" spans="1:6" x14ac:dyDescent="0.25">
      <c r="A66" t="s">
        <v>9</v>
      </c>
      <c r="B66" t="s">
        <v>19</v>
      </c>
      <c r="C66" t="s">
        <v>5</v>
      </c>
      <c r="D66" s="1">
        <f>(3*(10^0))/0.01</f>
        <v>300</v>
      </c>
      <c r="E66" s="1">
        <v>0</v>
      </c>
      <c r="F66" s="1">
        <v>0</v>
      </c>
    </row>
    <row r="67" spans="1:6" x14ac:dyDescent="0.25">
      <c r="A67" t="s">
        <v>10</v>
      </c>
      <c r="B67" t="s">
        <v>19</v>
      </c>
      <c r="C67" t="s">
        <v>5</v>
      </c>
      <c r="D67" s="2">
        <v>0</v>
      </c>
      <c r="E67" s="2">
        <v>0</v>
      </c>
      <c r="F67" s="1">
        <f>(5*(10^4))/0.01</f>
        <v>5000000</v>
      </c>
    </row>
    <row r="68" spans="1:6" x14ac:dyDescent="0.25">
      <c r="A68" t="s">
        <v>14</v>
      </c>
      <c r="B68" t="s">
        <v>19</v>
      </c>
      <c r="C68" t="s">
        <v>6</v>
      </c>
      <c r="D68" s="1">
        <v>0</v>
      </c>
      <c r="E68" s="1">
        <v>0</v>
      </c>
      <c r="F68" s="1">
        <v>0</v>
      </c>
    </row>
    <row r="69" spans="1:6" x14ac:dyDescent="0.25">
      <c r="A69" t="s">
        <v>3</v>
      </c>
      <c r="B69" t="s">
        <v>19</v>
      </c>
      <c r="C69" t="s">
        <v>6</v>
      </c>
      <c r="D69" s="1">
        <f>(2*(10^1))/0.01</f>
        <v>2000</v>
      </c>
      <c r="E69" s="1">
        <f>(1*(10^1))/0.01</f>
        <v>1000</v>
      </c>
      <c r="F69" s="1">
        <f>(46*(10^3))/0.01</f>
        <v>4600000</v>
      </c>
    </row>
    <row r="70" spans="1:6" x14ac:dyDescent="0.25">
      <c r="A70" t="s">
        <v>7</v>
      </c>
      <c r="B70" t="s">
        <v>19</v>
      </c>
      <c r="C70" t="s">
        <v>6</v>
      </c>
      <c r="D70" s="1">
        <v>0</v>
      </c>
      <c r="E70" s="1">
        <v>0</v>
      </c>
      <c r="F70" s="1">
        <v>0</v>
      </c>
    </row>
    <row r="71" spans="1:6" x14ac:dyDescent="0.25">
      <c r="A71" t="s">
        <v>8</v>
      </c>
      <c r="B71" t="s">
        <v>19</v>
      </c>
      <c r="C71" t="s">
        <v>6</v>
      </c>
      <c r="D71" s="1">
        <v>0</v>
      </c>
      <c r="E71" s="1">
        <f>(2*(10^1))/0.01</f>
        <v>2000</v>
      </c>
      <c r="F71" s="1">
        <f>(10*(10^4))/0.01</f>
        <v>10000000</v>
      </c>
    </row>
    <row r="72" spans="1:6" x14ac:dyDescent="0.25">
      <c r="A72" t="s">
        <v>9</v>
      </c>
      <c r="B72" t="s">
        <v>19</v>
      </c>
      <c r="C72" t="s">
        <v>6</v>
      </c>
      <c r="D72" s="1">
        <v>0</v>
      </c>
      <c r="E72" s="1">
        <v>0</v>
      </c>
      <c r="F72" s="1">
        <v>0</v>
      </c>
    </row>
    <row r="73" spans="1:6" x14ac:dyDescent="0.25">
      <c r="A73" t="s">
        <v>10</v>
      </c>
      <c r="B73" t="s">
        <v>19</v>
      </c>
      <c r="C73" t="s">
        <v>6</v>
      </c>
      <c r="D73" s="1">
        <v>0</v>
      </c>
      <c r="E73" s="1">
        <v>0</v>
      </c>
      <c r="F73" s="1">
        <f>(29*(10^3))/0.01</f>
        <v>2900000</v>
      </c>
    </row>
    <row r="74" spans="1:6" x14ac:dyDescent="0.25">
      <c r="A74" t="s">
        <v>14</v>
      </c>
      <c r="B74" t="s">
        <v>20</v>
      </c>
      <c r="C74" t="s">
        <v>5</v>
      </c>
      <c r="D74" s="1">
        <f>(49*(10^4))/0.01</f>
        <v>49000000</v>
      </c>
      <c r="E74" s="1">
        <f>(55*(10^4))/0.01</f>
        <v>55000000</v>
      </c>
      <c r="F74" s="1">
        <v>0</v>
      </c>
    </row>
    <row r="75" spans="1:6" x14ac:dyDescent="0.25">
      <c r="A75" t="s">
        <v>3</v>
      </c>
      <c r="B75" t="s">
        <v>20</v>
      </c>
      <c r="C75" t="s">
        <v>5</v>
      </c>
      <c r="D75" s="1">
        <f>(59*(10^4))/0.01</f>
        <v>59000000</v>
      </c>
      <c r="E75" s="1">
        <f>(32*(10^4))/0.01</f>
        <v>32000000</v>
      </c>
      <c r="F75" s="1">
        <f>(1*(10^5))/0.01</f>
        <v>10000000</v>
      </c>
    </row>
    <row r="76" spans="1:6" x14ac:dyDescent="0.25">
      <c r="A76" t="s">
        <v>7</v>
      </c>
      <c r="B76" t="s">
        <v>20</v>
      </c>
      <c r="C76" t="s">
        <v>5</v>
      </c>
      <c r="D76" s="1">
        <f>(62*(10^4))/0.01</f>
        <v>62000000</v>
      </c>
      <c r="E76" s="1">
        <f>(8*(10^5))/0.01</f>
        <v>80000000</v>
      </c>
      <c r="F76" s="1">
        <f>(1*(10^3))/0.01</f>
        <v>100000</v>
      </c>
    </row>
    <row r="77" spans="1:6" x14ac:dyDescent="0.25">
      <c r="A77" t="s">
        <v>8</v>
      </c>
      <c r="B77" t="s">
        <v>20</v>
      </c>
      <c r="C77" t="s">
        <v>5</v>
      </c>
      <c r="D77" s="1">
        <f>(24*(10^5))/0.01</f>
        <v>240000000</v>
      </c>
      <c r="E77" s="1">
        <f>(9*(10^5))/0.01</f>
        <v>90000000</v>
      </c>
      <c r="F77" s="1">
        <f>(4*(10^4))/0.01</f>
        <v>4000000</v>
      </c>
    </row>
    <row r="78" spans="1:6" x14ac:dyDescent="0.25">
      <c r="A78" t="s">
        <v>9</v>
      </c>
      <c r="B78" t="s">
        <v>20</v>
      </c>
      <c r="C78" t="s">
        <v>5</v>
      </c>
      <c r="D78" s="1">
        <f>(1*(10^0))/0.01</f>
        <v>100</v>
      </c>
      <c r="E78" s="1">
        <v>0</v>
      </c>
      <c r="F78" s="1">
        <v>0</v>
      </c>
    </row>
    <row r="79" spans="1:6" x14ac:dyDescent="0.25">
      <c r="A79" t="s">
        <v>10</v>
      </c>
      <c r="B79" t="s">
        <v>20</v>
      </c>
      <c r="C79" t="s">
        <v>5</v>
      </c>
      <c r="D79" s="2">
        <v>0</v>
      </c>
      <c r="E79" s="1">
        <f>(1*(10^0))/0.01</f>
        <v>100</v>
      </c>
      <c r="F79" s="1">
        <f>(13*(10^2))/0.01</f>
        <v>130000</v>
      </c>
    </row>
    <row r="80" spans="1:6" x14ac:dyDescent="0.25">
      <c r="A80" t="s">
        <v>14</v>
      </c>
      <c r="B80" t="s">
        <v>20</v>
      </c>
      <c r="C80" t="s">
        <v>6</v>
      </c>
      <c r="D80" s="1">
        <v>0</v>
      </c>
      <c r="E80" s="1">
        <v>0</v>
      </c>
      <c r="F80" s="1">
        <v>0</v>
      </c>
    </row>
    <row r="81" spans="1:6" x14ac:dyDescent="0.25">
      <c r="A81" t="s">
        <v>3</v>
      </c>
      <c r="B81" t="s">
        <v>20</v>
      </c>
      <c r="C81" t="s">
        <v>6</v>
      </c>
      <c r="D81" s="1">
        <f>(1*(10^1))/0.01</f>
        <v>1000</v>
      </c>
      <c r="E81" s="1">
        <v>0</v>
      </c>
      <c r="F81" s="1">
        <f>(10*(10^3))/0.01</f>
        <v>1000000</v>
      </c>
    </row>
    <row r="82" spans="1:6" x14ac:dyDescent="0.25">
      <c r="A82" t="s">
        <v>7</v>
      </c>
      <c r="B82" t="s">
        <v>20</v>
      </c>
      <c r="C82" t="s">
        <v>6</v>
      </c>
      <c r="D82" s="1">
        <v>0</v>
      </c>
      <c r="E82" s="1">
        <v>0</v>
      </c>
      <c r="F82" s="1">
        <v>0</v>
      </c>
    </row>
    <row r="83" spans="1:6" x14ac:dyDescent="0.25">
      <c r="A83" t="s">
        <v>8</v>
      </c>
      <c r="B83" t="s">
        <v>20</v>
      </c>
      <c r="C83" t="s">
        <v>6</v>
      </c>
      <c r="D83" s="1">
        <v>0</v>
      </c>
      <c r="E83" s="1">
        <f>(3*(10^1))/0.01</f>
        <v>3000</v>
      </c>
      <c r="F83" s="1">
        <f>(49*(10^3))/0.01</f>
        <v>4900000</v>
      </c>
    </row>
    <row r="84" spans="1:6" x14ac:dyDescent="0.25">
      <c r="A84" t="s">
        <v>9</v>
      </c>
      <c r="B84" t="s">
        <v>20</v>
      </c>
      <c r="C84" t="s">
        <v>6</v>
      </c>
      <c r="D84" s="1">
        <v>0</v>
      </c>
      <c r="E84" s="1">
        <v>0</v>
      </c>
      <c r="F84" s="1">
        <v>0</v>
      </c>
    </row>
    <row r="85" spans="1:6" x14ac:dyDescent="0.25">
      <c r="A85" t="s">
        <v>10</v>
      </c>
      <c r="B85" t="s">
        <v>20</v>
      </c>
      <c r="C85" t="s">
        <v>6</v>
      </c>
      <c r="D85" s="1">
        <v>0</v>
      </c>
      <c r="E85" s="1">
        <f>(1*(10^0))/0.01</f>
        <v>100</v>
      </c>
      <c r="F85" s="1">
        <f>(10*(10^2))/0.01</f>
        <v>100000</v>
      </c>
    </row>
    <row r="86" spans="1:6" x14ac:dyDescent="0.25">
      <c r="A86" t="s">
        <v>14</v>
      </c>
      <c r="B86" t="s">
        <v>21</v>
      </c>
      <c r="C86" t="s">
        <v>5</v>
      </c>
      <c r="D86" s="1">
        <f>(4*(10^5))/0.01</f>
        <v>40000000</v>
      </c>
      <c r="E86" s="1">
        <f>(2*(10^5))/0.01</f>
        <v>20000000</v>
      </c>
      <c r="F86" s="1">
        <v>0</v>
      </c>
    </row>
    <row r="87" spans="1:6" x14ac:dyDescent="0.25">
      <c r="A87" t="s">
        <v>3</v>
      </c>
      <c r="B87" t="s">
        <v>21</v>
      </c>
      <c r="C87" t="s">
        <v>5</v>
      </c>
      <c r="D87" s="1">
        <f>(24*(10^4))/0.01</f>
        <v>24000000</v>
      </c>
      <c r="E87" s="1">
        <f>(9*(10^4))/0.01</f>
        <v>9000000</v>
      </c>
      <c r="F87" s="1">
        <v>0</v>
      </c>
    </row>
    <row r="88" spans="1:6" x14ac:dyDescent="0.25">
      <c r="A88" t="s">
        <v>7</v>
      </c>
      <c r="B88" t="s">
        <v>21</v>
      </c>
      <c r="C88" t="s">
        <v>5</v>
      </c>
      <c r="D88" s="1">
        <f>(34*(10^4))/0.01</f>
        <v>34000000</v>
      </c>
      <c r="E88" s="1">
        <f>(26*(10^4))/0.01</f>
        <v>26000000</v>
      </c>
      <c r="F88" s="1">
        <v>0</v>
      </c>
    </row>
    <row r="89" spans="1:6" x14ac:dyDescent="0.25">
      <c r="A89" t="s">
        <v>8</v>
      </c>
      <c r="B89" t="s">
        <v>21</v>
      </c>
      <c r="C89" t="s">
        <v>5</v>
      </c>
      <c r="D89" s="1">
        <f>(8*(10^5))/0.01</f>
        <v>80000000</v>
      </c>
      <c r="E89" s="1">
        <f>(8*(10^5))/0.01</f>
        <v>80000000</v>
      </c>
      <c r="F89" s="1">
        <v>0</v>
      </c>
    </row>
    <row r="90" spans="1:6" x14ac:dyDescent="0.25">
      <c r="A90" t="s">
        <v>9</v>
      </c>
      <c r="B90" t="s">
        <v>21</v>
      </c>
      <c r="C90" t="s">
        <v>5</v>
      </c>
      <c r="D90" s="1">
        <v>0</v>
      </c>
      <c r="E90" s="1">
        <v>0</v>
      </c>
      <c r="F90" s="1">
        <v>0</v>
      </c>
    </row>
    <row r="91" spans="1:6" x14ac:dyDescent="0.25">
      <c r="A91" t="s">
        <v>10</v>
      </c>
      <c r="B91" t="s">
        <v>21</v>
      </c>
      <c r="C91" t="s">
        <v>5</v>
      </c>
      <c r="D91" s="1">
        <f>(1*(10^0))/0.01</f>
        <v>100</v>
      </c>
      <c r="E91" s="1">
        <v>0</v>
      </c>
      <c r="F91" s="1">
        <f>(38*(10^0))/0.01</f>
        <v>3800</v>
      </c>
    </row>
    <row r="92" spans="1:6" x14ac:dyDescent="0.25">
      <c r="A92" t="s">
        <v>14</v>
      </c>
      <c r="B92" t="s">
        <v>21</v>
      </c>
      <c r="C92" t="s">
        <v>6</v>
      </c>
      <c r="D92" s="1">
        <v>0</v>
      </c>
      <c r="E92" s="1">
        <v>0</v>
      </c>
      <c r="F92" s="1">
        <v>0</v>
      </c>
    </row>
    <row r="93" spans="1:6" x14ac:dyDescent="0.25">
      <c r="A93" t="s">
        <v>3</v>
      </c>
      <c r="B93" t="s">
        <v>21</v>
      </c>
      <c r="C93" t="s">
        <v>6</v>
      </c>
      <c r="D93" s="1">
        <f>(6*(10^0))/0.01</f>
        <v>600</v>
      </c>
      <c r="E93" s="1">
        <f>(1*(10^0))/0.01</f>
        <v>100</v>
      </c>
      <c r="F93" s="1">
        <f>(23*(10^2))/0.01</f>
        <v>230000</v>
      </c>
    </row>
    <row r="94" spans="1:6" x14ac:dyDescent="0.25">
      <c r="A94" t="s">
        <v>7</v>
      </c>
      <c r="B94" t="s">
        <v>21</v>
      </c>
      <c r="C94" t="s">
        <v>6</v>
      </c>
      <c r="D94" s="1">
        <v>0</v>
      </c>
      <c r="E94" s="1">
        <v>0</v>
      </c>
      <c r="F94" s="1">
        <v>0</v>
      </c>
    </row>
    <row r="95" spans="1:6" x14ac:dyDescent="0.25">
      <c r="A95" t="s">
        <v>8</v>
      </c>
      <c r="B95" t="s">
        <v>21</v>
      </c>
      <c r="C95" t="s">
        <v>6</v>
      </c>
      <c r="D95" s="1">
        <f>(3*(10^0))/0.01</f>
        <v>300</v>
      </c>
      <c r="E95" s="1">
        <f>(11*(10^0))/0.01</f>
        <v>1100</v>
      </c>
      <c r="F95" s="1">
        <f>(40*(10^2))/0.01</f>
        <v>400000</v>
      </c>
    </row>
    <row r="96" spans="1:6" x14ac:dyDescent="0.25">
      <c r="A96" t="s">
        <v>9</v>
      </c>
      <c r="B96" t="s">
        <v>21</v>
      </c>
      <c r="C96" t="s">
        <v>6</v>
      </c>
      <c r="D96" s="1">
        <v>0</v>
      </c>
      <c r="E96" s="1">
        <v>0</v>
      </c>
      <c r="F96" s="1">
        <v>0</v>
      </c>
    </row>
    <row r="97" spans="1:6" x14ac:dyDescent="0.25">
      <c r="A97" t="s">
        <v>10</v>
      </c>
      <c r="B97" t="s">
        <v>21</v>
      </c>
      <c r="C97" t="s">
        <v>6</v>
      </c>
      <c r="D97" s="1">
        <v>0</v>
      </c>
      <c r="E97" s="1">
        <v>0</v>
      </c>
      <c r="F97" s="1">
        <f>(43*(10^0))/0.01</f>
        <v>4300</v>
      </c>
    </row>
    <row r="98" spans="1:6" x14ac:dyDescent="0.25">
      <c r="A98" t="s">
        <v>14</v>
      </c>
      <c r="B98" t="s">
        <v>22</v>
      </c>
      <c r="C98" t="s">
        <v>5</v>
      </c>
      <c r="D98" s="1">
        <f>(39*(10^4))/0.01</f>
        <v>39000000</v>
      </c>
      <c r="E98" s="1">
        <f>(16*(10^4))/0.01</f>
        <v>16000000</v>
      </c>
      <c r="F98" s="1">
        <v>0</v>
      </c>
    </row>
    <row r="99" spans="1:6" x14ac:dyDescent="0.25">
      <c r="A99" t="s">
        <v>3</v>
      </c>
      <c r="B99" t="s">
        <v>22</v>
      </c>
      <c r="C99" t="s">
        <v>5</v>
      </c>
      <c r="D99" s="1">
        <f>(17*(10^4))/0.01</f>
        <v>17000000</v>
      </c>
      <c r="E99" s="1">
        <f>(3*(10^3))/0.01</f>
        <v>300000</v>
      </c>
      <c r="F99" s="1">
        <v>0</v>
      </c>
    </row>
    <row r="100" spans="1:6" x14ac:dyDescent="0.25">
      <c r="A100" t="s">
        <v>7</v>
      </c>
      <c r="B100" t="s">
        <v>22</v>
      </c>
      <c r="C100" t="s">
        <v>5</v>
      </c>
      <c r="D100" s="1">
        <f>(8*(10^4))/0.01</f>
        <v>8000000</v>
      </c>
      <c r="E100" s="1">
        <f>(2*(10^4))/0.01</f>
        <v>2000000</v>
      </c>
      <c r="F100" s="1">
        <v>0</v>
      </c>
    </row>
    <row r="101" spans="1:6" x14ac:dyDescent="0.25">
      <c r="A101" t="s">
        <v>8</v>
      </c>
      <c r="B101" t="s">
        <v>22</v>
      </c>
      <c r="C101" t="s">
        <v>5</v>
      </c>
      <c r="D101" s="1">
        <f>(19*(10^3))/0.01</f>
        <v>1900000</v>
      </c>
      <c r="E101" s="1">
        <f>(6*(10^2))/0.01</f>
        <v>60000</v>
      </c>
      <c r="F101" s="1">
        <f>(13*(10^2))/0.01</f>
        <v>130000</v>
      </c>
    </row>
    <row r="102" spans="1:6" x14ac:dyDescent="0.25">
      <c r="A102" t="s">
        <v>9</v>
      </c>
      <c r="B102" t="s">
        <v>22</v>
      </c>
      <c r="C102" t="s">
        <v>5</v>
      </c>
      <c r="D102" s="1">
        <v>0</v>
      </c>
      <c r="E102" s="1">
        <v>0</v>
      </c>
      <c r="F102" s="1">
        <v>0</v>
      </c>
    </row>
    <row r="103" spans="1:6" x14ac:dyDescent="0.25">
      <c r="A103" t="s">
        <v>10</v>
      </c>
      <c r="B103" t="s">
        <v>22</v>
      </c>
      <c r="C103" t="s">
        <v>5</v>
      </c>
      <c r="D103" s="1">
        <v>0</v>
      </c>
      <c r="E103" s="1">
        <v>0</v>
      </c>
      <c r="F103" s="1">
        <f>(3*(10^0))/0.01</f>
        <v>300</v>
      </c>
    </row>
    <row r="104" spans="1:6" x14ac:dyDescent="0.25">
      <c r="A104" t="s">
        <v>14</v>
      </c>
      <c r="B104" t="s">
        <v>22</v>
      </c>
      <c r="C104" t="s">
        <v>6</v>
      </c>
      <c r="D104" s="1">
        <v>0</v>
      </c>
      <c r="E104" s="1">
        <v>0</v>
      </c>
      <c r="F104" s="1">
        <v>0</v>
      </c>
    </row>
    <row r="105" spans="1:6" x14ac:dyDescent="0.25">
      <c r="A105" t="s">
        <v>3</v>
      </c>
      <c r="B105" t="s">
        <v>22</v>
      </c>
      <c r="C105" t="s">
        <v>6</v>
      </c>
      <c r="D105" s="1">
        <f>(6*(10^0))/0.01</f>
        <v>600</v>
      </c>
      <c r="E105" s="1">
        <f>(1*(10^1))/0.01</f>
        <v>1000</v>
      </c>
      <c r="F105" s="1">
        <f>(31*(10^1))/0.01</f>
        <v>31000</v>
      </c>
    </row>
    <row r="106" spans="1:6" x14ac:dyDescent="0.25">
      <c r="A106" t="s">
        <v>7</v>
      </c>
      <c r="B106" t="s">
        <v>22</v>
      </c>
      <c r="C106" t="s">
        <v>6</v>
      </c>
      <c r="D106" s="1">
        <v>0</v>
      </c>
      <c r="E106" s="1">
        <v>0</v>
      </c>
      <c r="F106" s="1">
        <v>0</v>
      </c>
    </row>
    <row r="107" spans="1:6" x14ac:dyDescent="0.25">
      <c r="A107" t="s">
        <v>8</v>
      </c>
      <c r="B107" t="s">
        <v>22</v>
      </c>
      <c r="C107" t="s">
        <v>6</v>
      </c>
      <c r="D107" s="1">
        <f>(5*(10^0))/0.01</f>
        <v>500</v>
      </c>
      <c r="E107" s="1">
        <f>(1*(10^0))/0.01</f>
        <v>100</v>
      </c>
      <c r="F107" s="1">
        <f>(7*(10^2))/0.01</f>
        <v>70000</v>
      </c>
    </row>
    <row r="108" spans="1:6" x14ac:dyDescent="0.25">
      <c r="A108" t="s">
        <v>9</v>
      </c>
      <c r="B108" t="s">
        <v>22</v>
      </c>
      <c r="C108" t="s">
        <v>6</v>
      </c>
      <c r="D108" s="1">
        <v>0</v>
      </c>
      <c r="E108" s="1">
        <v>0</v>
      </c>
      <c r="F108" s="1">
        <v>0</v>
      </c>
    </row>
    <row r="109" spans="1:6" x14ac:dyDescent="0.25">
      <c r="A109" t="s">
        <v>10</v>
      </c>
      <c r="B109" t="s">
        <v>22</v>
      </c>
      <c r="C109" t="s">
        <v>6</v>
      </c>
      <c r="D109" s="1">
        <v>0</v>
      </c>
      <c r="E109" s="1">
        <v>0</v>
      </c>
      <c r="F109" s="1">
        <f>(4*(10^0))/0.01</f>
        <v>400</v>
      </c>
    </row>
    <row r="110" spans="1:6" x14ac:dyDescent="0.25">
      <c r="A110" t="s">
        <v>14</v>
      </c>
      <c r="B110" t="s">
        <v>23</v>
      </c>
      <c r="C110" t="s">
        <v>5</v>
      </c>
      <c r="D110" s="1">
        <f>(14*(10^5))/0.01</f>
        <v>140000000</v>
      </c>
      <c r="E110" s="1">
        <f>(12*(10^5))/0.01</f>
        <v>120000000</v>
      </c>
      <c r="F110" s="1">
        <v>0</v>
      </c>
    </row>
    <row r="111" spans="1:6" x14ac:dyDescent="0.25">
      <c r="A111" t="s">
        <v>3</v>
      </c>
      <c r="B111" t="s">
        <v>23</v>
      </c>
      <c r="C111" t="s">
        <v>5</v>
      </c>
      <c r="D111" s="1">
        <f>(6*(10^4))/0.01</f>
        <v>6000000</v>
      </c>
      <c r="E111" s="1">
        <f>(6*(10^4))/0.01</f>
        <v>6000000</v>
      </c>
      <c r="F111" s="1">
        <v>0</v>
      </c>
    </row>
    <row r="112" spans="1:6" x14ac:dyDescent="0.25">
      <c r="A112" t="s">
        <v>7</v>
      </c>
      <c r="B112" t="s">
        <v>23</v>
      </c>
      <c r="C112" t="s">
        <v>5</v>
      </c>
      <c r="D112" s="1">
        <f>(23*(10^3))/0.01</f>
        <v>2300000</v>
      </c>
      <c r="E112" s="1">
        <f>(5*(10^2))/0.01</f>
        <v>50000</v>
      </c>
      <c r="F112" s="1">
        <v>0</v>
      </c>
    </row>
    <row r="113" spans="1:6" x14ac:dyDescent="0.25">
      <c r="A113" t="s">
        <v>8</v>
      </c>
      <c r="B113" t="s">
        <v>23</v>
      </c>
      <c r="C113" t="s">
        <v>5</v>
      </c>
      <c r="D113" s="1">
        <f>(54*(10^3))/0.01</f>
        <v>5400000</v>
      </c>
      <c r="E113" s="1">
        <f>(18*(10^3))/0.01</f>
        <v>1800000</v>
      </c>
      <c r="F113" s="1">
        <v>0</v>
      </c>
    </row>
    <row r="114" spans="1:6" x14ac:dyDescent="0.25">
      <c r="A114" t="s">
        <v>9</v>
      </c>
      <c r="B114" t="s">
        <v>23</v>
      </c>
      <c r="C114" t="s">
        <v>5</v>
      </c>
      <c r="D114" s="1">
        <v>0</v>
      </c>
      <c r="E114" s="1">
        <v>0</v>
      </c>
      <c r="F114" s="1">
        <v>0</v>
      </c>
    </row>
    <row r="115" spans="1:6" x14ac:dyDescent="0.25">
      <c r="A115" t="s">
        <v>10</v>
      </c>
      <c r="B115" t="s">
        <v>23</v>
      </c>
      <c r="C115" t="s">
        <v>5</v>
      </c>
      <c r="D115" s="1">
        <v>0</v>
      </c>
      <c r="E115" s="1">
        <v>0</v>
      </c>
      <c r="F115" s="1">
        <f>(1*(10^0))/0.01</f>
        <v>100</v>
      </c>
    </row>
    <row r="116" spans="1:6" x14ac:dyDescent="0.25">
      <c r="A116" t="s">
        <v>14</v>
      </c>
      <c r="B116" t="s">
        <v>23</v>
      </c>
      <c r="C116" t="s">
        <v>6</v>
      </c>
      <c r="D116" s="1">
        <v>0</v>
      </c>
      <c r="E116" s="1">
        <v>0</v>
      </c>
      <c r="F116" s="1">
        <v>0</v>
      </c>
    </row>
    <row r="117" spans="1:6" x14ac:dyDescent="0.25">
      <c r="A117" t="s">
        <v>3</v>
      </c>
      <c r="B117" t="s">
        <v>23</v>
      </c>
      <c r="C117" t="s">
        <v>6</v>
      </c>
      <c r="D117" s="1">
        <f>(4*(10^0))/0.01</f>
        <v>400</v>
      </c>
      <c r="E117" s="1">
        <f t="shared" ref="E117" si="0">(4*(10^0))/0.01</f>
        <v>400</v>
      </c>
      <c r="F117" s="1">
        <f>(16*(10^1))/0.01</f>
        <v>16000</v>
      </c>
    </row>
    <row r="118" spans="1:6" x14ac:dyDescent="0.25">
      <c r="A118" t="s">
        <v>7</v>
      </c>
      <c r="B118" t="s">
        <v>23</v>
      </c>
      <c r="C118" t="s">
        <v>6</v>
      </c>
      <c r="D118" s="1">
        <v>0</v>
      </c>
      <c r="E118" s="1">
        <v>0</v>
      </c>
      <c r="F118" s="1">
        <v>0</v>
      </c>
    </row>
    <row r="119" spans="1:6" x14ac:dyDescent="0.25">
      <c r="A119" t="s">
        <v>8</v>
      </c>
      <c r="B119" t="s">
        <v>23</v>
      </c>
      <c r="C119" t="s">
        <v>6</v>
      </c>
      <c r="D119" s="1">
        <f>(44*(10^4))/0.01</f>
        <v>44000000</v>
      </c>
      <c r="E119" s="1">
        <f>(20*(10^4))/0.01</f>
        <v>20000000</v>
      </c>
      <c r="F119" s="1">
        <v>0</v>
      </c>
    </row>
    <row r="120" spans="1:6" x14ac:dyDescent="0.25">
      <c r="A120" t="s">
        <v>9</v>
      </c>
      <c r="B120" t="s">
        <v>23</v>
      </c>
      <c r="C120" t="s">
        <v>6</v>
      </c>
      <c r="D120" s="1">
        <v>0</v>
      </c>
      <c r="E120" s="1">
        <v>0</v>
      </c>
      <c r="F120" s="1">
        <v>0</v>
      </c>
    </row>
    <row r="121" spans="1:6" x14ac:dyDescent="0.25">
      <c r="A121" t="s">
        <v>10</v>
      </c>
      <c r="B121" t="s">
        <v>23</v>
      </c>
      <c r="C121" t="s">
        <v>6</v>
      </c>
      <c r="D121" s="1">
        <v>0</v>
      </c>
      <c r="E121" s="1">
        <v>0</v>
      </c>
      <c r="F121" s="1">
        <v>0</v>
      </c>
    </row>
    <row r="122" spans="1:6" x14ac:dyDescent="0.25">
      <c r="A122" t="s">
        <v>14</v>
      </c>
      <c r="B122" t="s">
        <v>24</v>
      </c>
      <c r="C122" t="s">
        <v>5</v>
      </c>
      <c r="D122" s="1">
        <f>(18*(10^5))/0.01</f>
        <v>180000000</v>
      </c>
      <c r="E122" s="1">
        <f>(7*(10^5))/0.01</f>
        <v>70000000</v>
      </c>
      <c r="F122" s="1">
        <v>0</v>
      </c>
    </row>
    <row r="123" spans="1:6" x14ac:dyDescent="0.25">
      <c r="A123" t="s">
        <v>3</v>
      </c>
      <c r="B123" t="s">
        <v>24</v>
      </c>
      <c r="C123" t="s">
        <v>5</v>
      </c>
      <c r="D123" s="1">
        <f>(11*(10^4))/0.01</f>
        <v>11000000</v>
      </c>
      <c r="E123" s="1">
        <f>(5*(10^4))/0.01</f>
        <v>5000000</v>
      </c>
      <c r="F123" s="1">
        <v>0</v>
      </c>
    </row>
    <row r="124" spans="1:6" x14ac:dyDescent="0.25">
      <c r="A124" t="s">
        <v>7</v>
      </c>
      <c r="B124" t="s">
        <v>24</v>
      </c>
      <c r="C124" t="s">
        <v>5</v>
      </c>
      <c r="D124" s="1">
        <f>(31*(10^1))/0.01</f>
        <v>31000</v>
      </c>
      <c r="E124" s="1">
        <f>(31*(10^2))/0.01</f>
        <v>310000</v>
      </c>
      <c r="F124" s="1">
        <v>0</v>
      </c>
    </row>
    <row r="125" spans="1:6" x14ac:dyDescent="0.25">
      <c r="A125" t="s">
        <v>8</v>
      </c>
      <c r="B125" t="s">
        <v>24</v>
      </c>
      <c r="C125" t="s">
        <v>5</v>
      </c>
      <c r="D125" s="1">
        <f>(15*(10^4))/0.01</f>
        <v>15000000</v>
      </c>
      <c r="E125" s="1">
        <f>(26*(10^3))/0.01</f>
        <v>2600000</v>
      </c>
      <c r="F125" s="1">
        <v>0</v>
      </c>
    </row>
    <row r="126" spans="1:6" x14ac:dyDescent="0.25">
      <c r="A126" t="s">
        <v>9</v>
      </c>
      <c r="B126" t="s">
        <v>24</v>
      </c>
      <c r="C126" t="s">
        <v>5</v>
      </c>
      <c r="D126" s="1">
        <v>0</v>
      </c>
      <c r="E126" s="1">
        <v>0</v>
      </c>
      <c r="F126" s="1">
        <v>0</v>
      </c>
    </row>
    <row r="127" spans="1:6" x14ac:dyDescent="0.25">
      <c r="A127" t="s">
        <v>10</v>
      </c>
      <c r="B127" t="s">
        <v>24</v>
      </c>
      <c r="C127" t="s">
        <v>5</v>
      </c>
      <c r="D127" s="1">
        <v>0</v>
      </c>
      <c r="E127" s="1">
        <v>0</v>
      </c>
      <c r="F127" s="1">
        <v>0</v>
      </c>
    </row>
    <row r="128" spans="1:6" x14ac:dyDescent="0.25">
      <c r="A128" t="s">
        <v>14</v>
      </c>
      <c r="B128" t="s">
        <v>24</v>
      </c>
      <c r="C128" t="s">
        <v>6</v>
      </c>
      <c r="D128" s="1">
        <v>0</v>
      </c>
      <c r="E128" s="1">
        <f>(1*(10^0))/0.01</f>
        <v>100</v>
      </c>
      <c r="F128" s="1">
        <v>0</v>
      </c>
    </row>
    <row r="129" spans="1:6" x14ac:dyDescent="0.25">
      <c r="A129" t="s">
        <v>3</v>
      </c>
      <c r="B129" t="s">
        <v>24</v>
      </c>
      <c r="C129" t="s">
        <v>6</v>
      </c>
      <c r="D129" s="1">
        <f>(3*(10^0))/0.01</f>
        <v>300</v>
      </c>
      <c r="E129" s="1">
        <f>(9*(10^0))/0.01</f>
        <v>900</v>
      </c>
      <c r="F129" s="1">
        <f>(24*(10^1))/0.01</f>
        <v>24000</v>
      </c>
    </row>
    <row r="130" spans="1:6" x14ac:dyDescent="0.25">
      <c r="A130" t="s">
        <v>7</v>
      </c>
      <c r="B130" t="s">
        <v>24</v>
      </c>
      <c r="C130" t="s">
        <v>6</v>
      </c>
      <c r="D130" s="1">
        <v>0</v>
      </c>
      <c r="E130" s="1">
        <v>0</v>
      </c>
      <c r="F130" s="1">
        <v>0</v>
      </c>
    </row>
    <row r="131" spans="1:6" x14ac:dyDescent="0.25">
      <c r="A131" t="s">
        <v>8</v>
      </c>
      <c r="B131" t="s">
        <v>24</v>
      </c>
      <c r="C131" t="s">
        <v>6</v>
      </c>
      <c r="D131" s="1">
        <f>(12*(10^4))/0.01</f>
        <v>12000000</v>
      </c>
      <c r="E131" s="1">
        <f>(6*(10^4))/0.01</f>
        <v>6000000</v>
      </c>
      <c r="F131" s="1">
        <v>0</v>
      </c>
    </row>
    <row r="132" spans="1:6" x14ac:dyDescent="0.25">
      <c r="A132" t="s">
        <v>9</v>
      </c>
      <c r="B132" t="s">
        <v>24</v>
      </c>
      <c r="C132" t="s">
        <v>6</v>
      </c>
      <c r="D132" s="1">
        <v>0</v>
      </c>
      <c r="E132" s="1">
        <v>0</v>
      </c>
      <c r="F132" s="1">
        <v>0</v>
      </c>
    </row>
    <row r="133" spans="1:6" x14ac:dyDescent="0.25">
      <c r="A133" t="s">
        <v>10</v>
      </c>
      <c r="B133" t="s">
        <v>24</v>
      </c>
      <c r="C133" t="s">
        <v>6</v>
      </c>
      <c r="D133" s="1">
        <v>0</v>
      </c>
      <c r="E133" s="1">
        <v>0</v>
      </c>
      <c r="F133" s="1">
        <v>0</v>
      </c>
    </row>
    <row r="134" spans="1:6" x14ac:dyDescent="0.25">
      <c r="A134" t="s">
        <v>14</v>
      </c>
      <c r="B134" t="s">
        <v>26</v>
      </c>
      <c r="C134" t="s">
        <v>5</v>
      </c>
      <c r="D134" s="1">
        <f>(7*(10^5))/0.01</f>
        <v>70000000</v>
      </c>
      <c r="E134" s="1">
        <f>(4*(10^4))/0.01</f>
        <v>4000000</v>
      </c>
      <c r="F134" s="1">
        <v>0</v>
      </c>
    </row>
    <row r="135" spans="1:6" x14ac:dyDescent="0.25">
      <c r="A135" t="s">
        <v>3</v>
      </c>
      <c r="B135" t="s">
        <v>26</v>
      </c>
      <c r="C135" t="s">
        <v>5</v>
      </c>
      <c r="D135" s="1">
        <f>(17*(10^4))/0.01</f>
        <v>17000000</v>
      </c>
      <c r="E135" s="1">
        <f>(51*(10^4))/0.01</f>
        <v>51000000</v>
      </c>
      <c r="F135" s="1">
        <f>(1*(10^4))/0.01</f>
        <v>1000000</v>
      </c>
    </row>
    <row r="136" spans="1:6" x14ac:dyDescent="0.25">
      <c r="A136" t="s">
        <v>7</v>
      </c>
      <c r="B136" t="s">
        <v>26</v>
      </c>
      <c r="C136" t="s">
        <v>5</v>
      </c>
      <c r="D136" s="1">
        <f>(51*(10^2))/0.01</f>
        <v>510000</v>
      </c>
      <c r="E136" s="1">
        <f>(7*(10^2))/0.01</f>
        <v>70000</v>
      </c>
      <c r="F136" s="1">
        <v>0</v>
      </c>
    </row>
    <row r="137" spans="1:6" x14ac:dyDescent="0.25">
      <c r="A137" t="s">
        <v>8</v>
      </c>
      <c r="B137" t="s">
        <v>26</v>
      </c>
      <c r="C137" t="s">
        <v>5</v>
      </c>
      <c r="D137" s="1">
        <f>(48*(10^3))/0.01</f>
        <v>4800000</v>
      </c>
      <c r="E137" s="1">
        <f>(8*(10^3))/0.01</f>
        <v>800000</v>
      </c>
      <c r="F137" s="1">
        <v>0</v>
      </c>
    </row>
    <row r="138" spans="1:6" x14ac:dyDescent="0.25">
      <c r="A138" t="s">
        <v>9</v>
      </c>
      <c r="B138" t="s">
        <v>26</v>
      </c>
      <c r="C138" t="s">
        <v>5</v>
      </c>
      <c r="D138" s="1">
        <v>0</v>
      </c>
      <c r="E138" s="1">
        <v>0</v>
      </c>
      <c r="F138" s="1">
        <v>0</v>
      </c>
    </row>
    <row r="139" spans="1:6" x14ac:dyDescent="0.25">
      <c r="A139" t="s">
        <v>10</v>
      </c>
      <c r="B139" t="s">
        <v>26</v>
      </c>
      <c r="C139" t="s">
        <v>5</v>
      </c>
      <c r="D139" s="1">
        <v>0</v>
      </c>
      <c r="E139" s="1">
        <v>0</v>
      </c>
      <c r="F139" s="1">
        <f>(1*(10^0))/0.01</f>
        <v>100</v>
      </c>
    </row>
    <row r="140" spans="1:6" x14ac:dyDescent="0.25">
      <c r="A140" t="s">
        <v>14</v>
      </c>
      <c r="B140" t="s">
        <v>26</v>
      </c>
      <c r="C140" t="s">
        <v>6</v>
      </c>
      <c r="D140" s="1">
        <v>0</v>
      </c>
      <c r="E140" s="1">
        <v>0</v>
      </c>
      <c r="F140" s="1">
        <v>0</v>
      </c>
    </row>
    <row r="141" spans="1:6" x14ac:dyDescent="0.25">
      <c r="A141" t="s">
        <v>3</v>
      </c>
      <c r="B141" t="s">
        <v>26</v>
      </c>
      <c r="C141" t="s">
        <v>6</v>
      </c>
      <c r="D141" s="1">
        <f>(1*(10^1))/0.01</f>
        <v>1000</v>
      </c>
      <c r="E141" s="1">
        <f>(1*(10^0))/0.01</f>
        <v>100</v>
      </c>
      <c r="F141" s="1">
        <f>(9*(10^1))/0.01</f>
        <v>9000</v>
      </c>
    </row>
    <row r="142" spans="1:6" x14ac:dyDescent="0.25">
      <c r="A142" t="s">
        <v>7</v>
      </c>
      <c r="B142" t="s">
        <v>26</v>
      </c>
      <c r="C142" t="s">
        <v>6</v>
      </c>
      <c r="D142" s="1">
        <v>0</v>
      </c>
      <c r="E142" s="1">
        <v>0</v>
      </c>
      <c r="F142" s="1">
        <v>0</v>
      </c>
    </row>
    <row r="143" spans="1:6" x14ac:dyDescent="0.25">
      <c r="A143" t="s">
        <v>8</v>
      </c>
      <c r="B143" t="s">
        <v>26</v>
      </c>
      <c r="C143" t="s">
        <v>6</v>
      </c>
      <c r="D143" s="1">
        <f>(50*(10^3))/0.01</f>
        <v>5000000</v>
      </c>
      <c r="E143" s="1">
        <f>(9*(10^3))/0.01</f>
        <v>900000</v>
      </c>
      <c r="F143" s="1">
        <v>0</v>
      </c>
    </row>
    <row r="144" spans="1:6" x14ac:dyDescent="0.25">
      <c r="A144" t="s">
        <v>9</v>
      </c>
      <c r="B144" t="s">
        <v>26</v>
      </c>
      <c r="C144" t="s">
        <v>6</v>
      </c>
      <c r="D144" s="1">
        <v>0</v>
      </c>
      <c r="E144" s="1">
        <v>0</v>
      </c>
      <c r="F144" s="1">
        <v>0</v>
      </c>
    </row>
    <row r="145" spans="1:6" x14ac:dyDescent="0.25">
      <c r="A145" t="s">
        <v>10</v>
      </c>
      <c r="B145" t="s">
        <v>26</v>
      </c>
      <c r="C145" t="s">
        <v>6</v>
      </c>
      <c r="D145" s="1">
        <v>0</v>
      </c>
      <c r="E145" s="1">
        <v>0</v>
      </c>
      <c r="F145" s="1">
        <v>0</v>
      </c>
    </row>
    <row r="146" spans="1:6" x14ac:dyDescent="0.25">
      <c r="A146" t="s">
        <v>14</v>
      </c>
      <c r="B146" t="s">
        <v>25</v>
      </c>
      <c r="C146" t="s">
        <v>5</v>
      </c>
      <c r="D146" s="1">
        <f>(9*(10^5))/0.01</f>
        <v>90000000</v>
      </c>
      <c r="E146" s="1">
        <f>(42*(10^4))/0.01</f>
        <v>42000000</v>
      </c>
      <c r="F146" s="1">
        <v>0</v>
      </c>
    </row>
    <row r="147" spans="1:6" x14ac:dyDescent="0.25">
      <c r="A147" t="s">
        <v>3</v>
      </c>
      <c r="B147" t="s">
        <v>25</v>
      </c>
      <c r="C147" t="s">
        <v>5</v>
      </c>
      <c r="D147" s="1">
        <f>(10*(10^4))/0.01</f>
        <v>10000000</v>
      </c>
      <c r="E147" s="1">
        <f>(20*(10^5))/0.01</f>
        <v>200000000</v>
      </c>
      <c r="F147" s="1">
        <v>0</v>
      </c>
    </row>
    <row r="148" spans="1:6" x14ac:dyDescent="0.25">
      <c r="A148" t="s">
        <v>7</v>
      </c>
      <c r="B148" t="s">
        <v>25</v>
      </c>
      <c r="C148" t="s">
        <v>5</v>
      </c>
      <c r="D148" s="1">
        <f>(8*(10^3))/0.01</f>
        <v>800000</v>
      </c>
      <c r="E148" s="1">
        <f>(5*(10^2))/0.01</f>
        <v>50000</v>
      </c>
      <c r="F148" s="1">
        <v>0</v>
      </c>
    </row>
    <row r="149" spans="1:6" x14ac:dyDescent="0.25">
      <c r="A149" t="s">
        <v>8</v>
      </c>
      <c r="B149" t="s">
        <v>25</v>
      </c>
      <c r="C149" t="s">
        <v>5</v>
      </c>
      <c r="D149" s="1">
        <f>(26*(10^4))/0.01</f>
        <v>26000000</v>
      </c>
      <c r="E149" s="1">
        <f>(3*(10^3))/0.01</f>
        <v>300000</v>
      </c>
      <c r="F149" s="1">
        <v>0</v>
      </c>
    </row>
    <row r="150" spans="1:6" x14ac:dyDescent="0.25">
      <c r="A150" t="s">
        <v>9</v>
      </c>
      <c r="B150" t="s">
        <v>25</v>
      </c>
      <c r="C150" t="s">
        <v>5</v>
      </c>
      <c r="D150" s="1">
        <v>0</v>
      </c>
      <c r="E150" s="1">
        <v>0</v>
      </c>
      <c r="F150" s="1">
        <v>0</v>
      </c>
    </row>
    <row r="151" spans="1:6" x14ac:dyDescent="0.25">
      <c r="A151" t="s">
        <v>10</v>
      </c>
      <c r="B151" t="s">
        <v>25</v>
      </c>
      <c r="C151" t="s">
        <v>5</v>
      </c>
      <c r="D151" s="1">
        <v>0</v>
      </c>
      <c r="E151" s="1">
        <v>0</v>
      </c>
      <c r="F151" s="1">
        <v>0</v>
      </c>
    </row>
    <row r="152" spans="1:6" x14ac:dyDescent="0.25">
      <c r="A152" t="s">
        <v>14</v>
      </c>
      <c r="B152" t="s">
        <v>25</v>
      </c>
      <c r="C152" t="s">
        <v>6</v>
      </c>
      <c r="D152" s="1">
        <v>0</v>
      </c>
      <c r="E152" s="1">
        <v>0</v>
      </c>
      <c r="F152" s="1">
        <v>0</v>
      </c>
    </row>
    <row r="153" spans="1:6" x14ac:dyDescent="0.25">
      <c r="A153" t="s">
        <v>3</v>
      </c>
      <c r="B153" t="s">
        <v>25</v>
      </c>
      <c r="C153" t="s">
        <v>6</v>
      </c>
      <c r="D153" s="1">
        <v>0</v>
      </c>
      <c r="E153" s="1">
        <v>0</v>
      </c>
      <c r="F153" s="1">
        <f>(8*(10^1))/0.01</f>
        <v>8000</v>
      </c>
    </row>
    <row r="154" spans="1:6" x14ac:dyDescent="0.25">
      <c r="A154" t="s">
        <v>7</v>
      </c>
      <c r="B154" t="s">
        <v>25</v>
      </c>
      <c r="C154" t="s">
        <v>6</v>
      </c>
      <c r="D154" s="1">
        <v>0</v>
      </c>
      <c r="E154" s="1">
        <v>0</v>
      </c>
      <c r="F154" s="1">
        <v>0</v>
      </c>
    </row>
    <row r="155" spans="1:6" x14ac:dyDescent="0.25">
      <c r="A155" t="s">
        <v>8</v>
      </c>
      <c r="B155" t="s">
        <v>25</v>
      </c>
      <c r="C155" t="s">
        <v>6</v>
      </c>
      <c r="D155" s="1">
        <f>(3*(10^4))/0.01</f>
        <v>3000000</v>
      </c>
      <c r="E155" s="1">
        <f>(4*(10^4))/0.01</f>
        <v>4000000</v>
      </c>
      <c r="F155" s="1">
        <v>0</v>
      </c>
    </row>
    <row r="156" spans="1:6" x14ac:dyDescent="0.25">
      <c r="A156" t="s">
        <v>9</v>
      </c>
      <c r="B156" t="s">
        <v>25</v>
      </c>
      <c r="C156" t="s">
        <v>6</v>
      </c>
      <c r="D156" s="1">
        <v>0</v>
      </c>
      <c r="E156" s="1">
        <v>0</v>
      </c>
      <c r="F156" s="1">
        <v>0</v>
      </c>
    </row>
    <row r="157" spans="1:6" x14ac:dyDescent="0.25">
      <c r="A157" t="s">
        <v>10</v>
      </c>
      <c r="B157" t="s">
        <v>25</v>
      </c>
      <c r="C157" t="s">
        <v>6</v>
      </c>
      <c r="D157" s="1">
        <v>0</v>
      </c>
      <c r="E157" s="1">
        <v>0</v>
      </c>
      <c r="F157" s="1">
        <v>0</v>
      </c>
    </row>
    <row r="158" spans="1:6" x14ac:dyDescent="0.25">
      <c r="A158" t="s">
        <v>14</v>
      </c>
      <c r="B158" t="s">
        <v>27</v>
      </c>
      <c r="C158" t="s">
        <v>5</v>
      </c>
      <c r="D158" s="1">
        <f>(27*(10^4))/0.01</f>
        <v>27000000</v>
      </c>
      <c r="E158" s="1">
        <f>(25*(10^4))/0.01</f>
        <v>25000000</v>
      </c>
      <c r="F158" s="1">
        <v>0</v>
      </c>
    </row>
    <row r="159" spans="1:6" x14ac:dyDescent="0.25">
      <c r="A159" t="s">
        <v>3</v>
      </c>
      <c r="B159" t="s">
        <v>27</v>
      </c>
      <c r="C159" t="s">
        <v>5</v>
      </c>
      <c r="D159" s="1">
        <f>(4*(10^4))/0.01</f>
        <v>4000000</v>
      </c>
      <c r="E159" s="1">
        <f>(9*(10^5))/0.01</f>
        <v>90000000</v>
      </c>
      <c r="F159" s="1">
        <v>0</v>
      </c>
    </row>
    <row r="160" spans="1:6" x14ac:dyDescent="0.25">
      <c r="A160" t="s">
        <v>7</v>
      </c>
      <c r="B160" t="s">
        <v>27</v>
      </c>
      <c r="C160" t="s">
        <v>5</v>
      </c>
      <c r="D160" s="1">
        <f>(25*(10^2))/0.01</f>
        <v>250000</v>
      </c>
      <c r="E160" s="1">
        <f>(35*(10^1))/0.01</f>
        <v>35000</v>
      </c>
      <c r="F160" s="1">
        <v>0</v>
      </c>
    </row>
    <row r="161" spans="1:6" x14ac:dyDescent="0.25">
      <c r="A161" t="s">
        <v>8</v>
      </c>
      <c r="B161" t="s">
        <v>27</v>
      </c>
      <c r="C161" t="s">
        <v>5</v>
      </c>
      <c r="D161" s="1">
        <f>(6*(10^4))/0.01</f>
        <v>6000000</v>
      </c>
      <c r="E161" s="1">
        <f>(9*(10^4))/0.01</f>
        <v>9000000</v>
      </c>
      <c r="F161" s="1">
        <v>0</v>
      </c>
    </row>
    <row r="162" spans="1:6" x14ac:dyDescent="0.25">
      <c r="A162" t="s">
        <v>14</v>
      </c>
      <c r="B162" t="s">
        <v>27</v>
      </c>
      <c r="C162" t="s">
        <v>6</v>
      </c>
      <c r="D162" s="1">
        <v>0</v>
      </c>
      <c r="E162" s="1">
        <v>0</v>
      </c>
      <c r="F162" s="1">
        <v>0</v>
      </c>
    </row>
    <row r="163" spans="1:6" x14ac:dyDescent="0.25">
      <c r="A163" t="s">
        <v>3</v>
      </c>
      <c r="B163" t="s">
        <v>27</v>
      </c>
      <c r="C163" t="s">
        <v>6</v>
      </c>
      <c r="D163" s="1">
        <f>(1*(10^0))/0.01</f>
        <v>100</v>
      </c>
      <c r="E163" s="1">
        <f t="shared" ref="E163:F163" si="1">(1*(10^0))/0.01</f>
        <v>100</v>
      </c>
      <c r="F163" s="1">
        <f>(10*(10^0))/0.01</f>
        <v>1000</v>
      </c>
    </row>
    <row r="164" spans="1:6" x14ac:dyDescent="0.25">
      <c r="A164" t="s">
        <v>7</v>
      </c>
      <c r="B164" t="s">
        <v>27</v>
      </c>
      <c r="C164" t="s">
        <v>6</v>
      </c>
      <c r="D164" s="1">
        <v>0</v>
      </c>
      <c r="E164" s="1">
        <v>0</v>
      </c>
      <c r="F164" s="1">
        <v>0</v>
      </c>
    </row>
    <row r="165" spans="1:6" x14ac:dyDescent="0.25">
      <c r="A165" t="s">
        <v>8</v>
      </c>
      <c r="B165" t="s">
        <v>27</v>
      </c>
      <c r="C165" t="s">
        <v>6</v>
      </c>
      <c r="D165" s="1">
        <f>(8*(10^4))/0.01</f>
        <v>8000000</v>
      </c>
      <c r="E165" s="1">
        <f>(2*(10^4))/0.01</f>
        <v>2000000</v>
      </c>
      <c r="F165" s="1">
        <v>0</v>
      </c>
    </row>
    <row r="166" spans="1:6" x14ac:dyDescent="0.25">
      <c r="A166" t="s">
        <v>14</v>
      </c>
      <c r="B166" t="s">
        <v>28</v>
      </c>
      <c r="C166" t="s">
        <v>5</v>
      </c>
      <c r="D166" s="1">
        <f>(24*(10^4))/0.01</f>
        <v>24000000</v>
      </c>
      <c r="E166" s="1">
        <f>(23*(10^4))/0.01</f>
        <v>23000000</v>
      </c>
      <c r="F166" s="1">
        <v>0</v>
      </c>
    </row>
    <row r="167" spans="1:6" x14ac:dyDescent="0.25">
      <c r="A167" t="s">
        <v>3</v>
      </c>
      <c r="B167" t="s">
        <v>28</v>
      </c>
      <c r="C167" t="s">
        <v>5</v>
      </c>
      <c r="D167" s="1">
        <f>(5*(10^4))/0.01</f>
        <v>5000000</v>
      </c>
      <c r="E167" s="1">
        <f>(4*(10^5))/0.01</f>
        <v>40000000</v>
      </c>
      <c r="F167" s="1">
        <v>0</v>
      </c>
    </row>
    <row r="168" spans="1:6" x14ac:dyDescent="0.25">
      <c r="A168" t="s">
        <v>7</v>
      </c>
      <c r="B168" t="s">
        <v>28</v>
      </c>
      <c r="C168" t="s">
        <v>5</v>
      </c>
      <c r="D168" s="1">
        <f>(17*(10^2))/0.01</f>
        <v>170000</v>
      </c>
      <c r="E168" s="1">
        <f>(2*(10^2))/0.01</f>
        <v>20000</v>
      </c>
      <c r="F168" s="1">
        <v>0</v>
      </c>
    </row>
    <row r="169" spans="1:6" x14ac:dyDescent="0.25">
      <c r="A169" t="s">
        <v>8</v>
      </c>
      <c r="B169" t="s">
        <v>28</v>
      </c>
      <c r="C169" t="s">
        <v>5</v>
      </c>
      <c r="D169" s="1">
        <f>(4*(10^4))/0.01</f>
        <v>4000000</v>
      </c>
      <c r="E169" s="1">
        <f>(15*(10^3))/0.01</f>
        <v>1500000</v>
      </c>
      <c r="F169" s="1">
        <v>0</v>
      </c>
    </row>
    <row r="170" spans="1:6" x14ac:dyDescent="0.25">
      <c r="A170" t="s">
        <v>14</v>
      </c>
      <c r="B170" t="s">
        <v>28</v>
      </c>
      <c r="C170" t="s">
        <v>6</v>
      </c>
      <c r="D170" s="1">
        <v>0</v>
      </c>
      <c r="E170" s="1">
        <v>0</v>
      </c>
      <c r="F170" s="1">
        <v>0</v>
      </c>
    </row>
    <row r="171" spans="1:6" x14ac:dyDescent="0.25">
      <c r="A171" t="s">
        <v>3</v>
      </c>
      <c r="B171" t="s">
        <v>28</v>
      </c>
      <c r="C171" t="s">
        <v>6</v>
      </c>
      <c r="D171" s="1">
        <f>(3*(10^0))/0.01</f>
        <v>300</v>
      </c>
      <c r="E171" s="1">
        <f>(4*(10^0))/0.01</f>
        <v>400</v>
      </c>
      <c r="F171" s="1">
        <f>(4*(10^0))/0.01</f>
        <v>400</v>
      </c>
    </row>
    <row r="172" spans="1:6" x14ac:dyDescent="0.25">
      <c r="A172" t="s">
        <v>7</v>
      </c>
      <c r="B172" t="s">
        <v>28</v>
      </c>
      <c r="C172" t="s">
        <v>6</v>
      </c>
      <c r="D172" s="1">
        <v>0</v>
      </c>
      <c r="E172" s="1">
        <v>0</v>
      </c>
      <c r="F172" s="1">
        <v>0</v>
      </c>
    </row>
    <row r="173" spans="1:6" x14ac:dyDescent="0.25">
      <c r="A173" t="s">
        <v>8</v>
      </c>
      <c r="B173" t="s">
        <v>28</v>
      </c>
      <c r="C173" t="s">
        <v>6</v>
      </c>
      <c r="D173" s="1">
        <f>(21*(10^3))/0.01</f>
        <v>2100000</v>
      </c>
      <c r="E173" s="1">
        <f>(12*(10^3))/0.01</f>
        <v>1200000</v>
      </c>
      <c r="F173" s="1">
        <v>0</v>
      </c>
    </row>
    <row r="174" spans="1:6" x14ac:dyDescent="0.25">
      <c r="A174" t="s">
        <v>14</v>
      </c>
      <c r="B174" t="s">
        <v>29</v>
      </c>
      <c r="C174" t="s">
        <v>5</v>
      </c>
      <c r="D174" s="1">
        <f>(19*(10^5))/0.01</f>
        <v>190000000</v>
      </c>
      <c r="E174" s="1">
        <f>(8*(10^5))/0.01</f>
        <v>80000000</v>
      </c>
      <c r="F174" s="1">
        <v>0</v>
      </c>
    </row>
    <row r="175" spans="1:6" x14ac:dyDescent="0.25">
      <c r="A175" t="s">
        <v>3</v>
      </c>
      <c r="B175" t="s">
        <v>29</v>
      </c>
      <c r="C175" t="s">
        <v>5</v>
      </c>
      <c r="D175" s="1">
        <f>(8*(10^4))/0.01</f>
        <v>8000000</v>
      </c>
      <c r="E175" s="1">
        <f>(13*(10^4))/0.01</f>
        <v>13000000</v>
      </c>
      <c r="F175" s="1">
        <v>0</v>
      </c>
    </row>
    <row r="176" spans="1:6" x14ac:dyDescent="0.25">
      <c r="A176" t="s">
        <v>7</v>
      </c>
      <c r="B176" t="s">
        <v>29</v>
      </c>
      <c r="C176" t="s">
        <v>5</v>
      </c>
      <c r="D176" s="1">
        <f>(18*(10^2))/0.01</f>
        <v>180000</v>
      </c>
      <c r="E176" s="1">
        <f>(5*(10^2))/0.01</f>
        <v>50000</v>
      </c>
      <c r="F176" s="1">
        <v>0</v>
      </c>
    </row>
    <row r="177" spans="1:6" x14ac:dyDescent="0.25">
      <c r="A177" t="s">
        <v>8</v>
      </c>
      <c r="B177" t="s">
        <v>29</v>
      </c>
      <c r="C177" t="s">
        <v>5</v>
      </c>
      <c r="D177" s="1">
        <f>(25*(10^3))/0.01</f>
        <v>2500000</v>
      </c>
      <c r="E177" s="1">
        <f>(12*(10^3))/0.01</f>
        <v>1200000</v>
      </c>
      <c r="F177" s="1">
        <v>0</v>
      </c>
    </row>
    <row r="178" spans="1:6" x14ac:dyDescent="0.25">
      <c r="A178" t="s">
        <v>14</v>
      </c>
      <c r="B178" t="s">
        <v>29</v>
      </c>
      <c r="C178" t="s">
        <v>6</v>
      </c>
      <c r="D178" s="1">
        <v>0</v>
      </c>
      <c r="E178" s="1">
        <v>0</v>
      </c>
      <c r="F178" s="1">
        <v>0</v>
      </c>
    </row>
    <row r="179" spans="1:6" x14ac:dyDescent="0.25">
      <c r="A179" t="s">
        <v>3</v>
      </c>
      <c r="B179" t="s">
        <v>29</v>
      </c>
      <c r="C179" t="s">
        <v>6</v>
      </c>
      <c r="D179" s="1">
        <f>(22*(10^0))/0.01</f>
        <v>2200</v>
      </c>
      <c r="E179" s="1">
        <v>0</v>
      </c>
      <c r="F179" s="1">
        <f>(3*(10^0))/0.01</f>
        <v>300</v>
      </c>
    </row>
    <row r="180" spans="1:6" x14ac:dyDescent="0.25">
      <c r="A180" t="s">
        <v>7</v>
      </c>
      <c r="B180" t="s">
        <v>29</v>
      </c>
      <c r="C180" t="s">
        <v>6</v>
      </c>
      <c r="D180" s="1">
        <v>0</v>
      </c>
      <c r="E180" s="1">
        <v>0</v>
      </c>
      <c r="F180" s="1">
        <v>0</v>
      </c>
    </row>
    <row r="181" spans="1:6" x14ac:dyDescent="0.25">
      <c r="A181" t="s">
        <v>8</v>
      </c>
      <c r="B181" t="s">
        <v>29</v>
      </c>
      <c r="C181" t="s">
        <v>6</v>
      </c>
      <c r="D181" s="1">
        <f>(16*(10^3))/0.01</f>
        <v>1600000</v>
      </c>
      <c r="E181" s="1">
        <f>(9*(10^3))/0.01</f>
        <v>900000</v>
      </c>
      <c r="F181" s="1">
        <v>0</v>
      </c>
    </row>
    <row r="182" spans="1:6" x14ac:dyDescent="0.25">
      <c r="A182" t="s">
        <v>14</v>
      </c>
      <c r="B182" t="s">
        <v>30</v>
      </c>
      <c r="C182" t="s">
        <v>5</v>
      </c>
      <c r="D182" s="1">
        <f>(40*(10^4))/0.01</f>
        <v>40000000</v>
      </c>
      <c r="E182" s="1">
        <f>(31*(10^4))/0.01</f>
        <v>31000000</v>
      </c>
      <c r="F182" s="1">
        <v>0</v>
      </c>
    </row>
    <row r="183" spans="1:6" x14ac:dyDescent="0.25">
      <c r="A183" t="s">
        <v>3</v>
      </c>
      <c r="B183" t="s">
        <v>30</v>
      </c>
      <c r="C183" t="s">
        <v>5</v>
      </c>
      <c r="D183" s="1">
        <f>(6*(10^5))/0.01</f>
        <v>60000000</v>
      </c>
      <c r="E183" s="1">
        <f>(6*(10^5))/0.01</f>
        <v>60000000</v>
      </c>
      <c r="F183" s="1">
        <v>0</v>
      </c>
    </row>
    <row r="184" spans="1:6" x14ac:dyDescent="0.25">
      <c r="A184" t="s">
        <v>7</v>
      </c>
      <c r="B184" t="s">
        <v>30</v>
      </c>
      <c r="C184" t="s">
        <v>5</v>
      </c>
      <c r="D184" s="1">
        <f>(15*(10^3))/0.01</f>
        <v>1500000</v>
      </c>
      <c r="E184" s="1">
        <f>(4*(10^2))/0.01</f>
        <v>40000</v>
      </c>
      <c r="F184" s="1">
        <v>0</v>
      </c>
    </row>
    <row r="185" spans="1:6" x14ac:dyDescent="0.25">
      <c r="A185" t="s">
        <v>8</v>
      </c>
      <c r="B185" t="s">
        <v>30</v>
      </c>
      <c r="C185" t="s">
        <v>5</v>
      </c>
      <c r="D185" s="1">
        <f>(19*(10^4))/0.01</f>
        <v>19000000</v>
      </c>
      <c r="E185" s="1">
        <f>(35*(10^4))/0.01</f>
        <v>35000000</v>
      </c>
      <c r="F185" s="1">
        <v>0</v>
      </c>
    </row>
    <row r="186" spans="1:6" x14ac:dyDescent="0.25">
      <c r="A186" t="s">
        <v>14</v>
      </c>
      <c r="B186" t="s">
        <v>30</v>
      </c>
      <c r="C186" t="s">
        <v>6</v>
      </c>
      <c r="D186" s="1">
        <v>0</v>
      </c>
      <c r="E186" s="1">
        <v>0</v>
      </c>
      <c r="F186" s="1">
        <v>0</v>
      </c>
    </row>
    <row r="187" spans="1:6" x14ac:dyDescent="0.25">
      <c r="A187" t="s">
        <v>3</v>
      </c>
      <c r="B187" t="s">
        <v>30</v>
      </c>
      <c r="C187" t="s">
        <v>6</v>
      </c>
      <c r="D187" s="1">
        <f>(3*(10^0))/0.01</f>
        <v>300</v>
      </c>
      <c r="E187" s="1">
        <f>(13*(10^0))/0.01</f>
        <v>1300</v>
      </c>
      <c r="F187" s="1">
        <v>0</v>
      </c>
    </row>
    <row r="188" spans="1:6" x14ac:dyDescent="0.25">
      <c r="A188" t="s">
        <v>7</v>
      </c>
      <c r="B188" t="s">
        <v>30</v>
      </c>
      <c r="C188" t="s">
        <v>6</v>
      </c>
      <c r="D188" s="1">
        <v>0</v>
      </c>
      <c r="E188" s="1">
        <v>0</v>
      </c>
      <c r="F188" s="1">
        <v>0</v>
      </c>
    </row>
    <row r="189" spans="1:6" x14ac:dyDescent="0.25">
      <c r="A189" t="s">
        <v>8</v>
      </c>
      <c r="B189" t="s">
        <v>30</v>
      </c>
      <c r="C189" t="s">
        <v>6</v>
      </c>
      <c r="D189" s="1">
        <f>(8*(10^4))/0.01</f>
        <v>8000000</v>
      </c>
      <c r="E189" s="1">
        <f>(54*(10^4))/0.01</f>
        <v>54000000</v>
      </c>
      <c r="F189" s="1">
        <v>0</v>
      </c>
    </row>
  </sheetData>
  <phoneticPr fontId="1" type="noConversion"/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 Hien Vu</dc:creator>
  <cp:lastModifiedBy>Thu Hien Vu</cp:lastModifiedBy>
  <dcterms:created xsi:type="dcterms:W3CDTF">2026-03-25T15:21:32Z</dcterms:created>
  <dcterms:modified xsi:type="dcterms:W3CDTF">2026-06-17T08:44:04Z</dcterms:modified>
</cp:coreProperties>
</file>