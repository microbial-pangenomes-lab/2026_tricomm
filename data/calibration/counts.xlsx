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Calibration/"/>
    </mc:Choice>
  </mc:AlternateContent>
  <xr:revisionPtr revIDLastSave="0" documentId="13_ncr:1_{342C7B1B-6EFA-FE46-A3A2-3BD6EF2F69C4}" xr6:coauthVersionLast="47" xr6:coauthVersionMax="47" xr10:uidLastSave="{00000000-0000-0000-0000-000000000000}"/>
  <bookViews>
    <workbookView xWindow="0" yWindow="740" windowWidth="29400" windowHeight="17320" xr2:uid="{F0941CDE-55DC-E949-AB0F-9CFF344905A0}"/>
  </bookViews>
  <sheets>
    <sheet name="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3" i="1"/>
  <c r="E22" i="1"/>
  <c r="C20" i="1"/>
  <c r="C23" i="1"/>
  <c r="C22" i="1"/>
  <c r="D23" i="1"/>
  <c r="D21" i="1"/>
  <c r="D20" i="1"/>
  <c r="C21" i="1"/>
  <c r="D22" i="1"/>
  <c r="E19" i="1"/>
  <c r="E18" i="1"/>
  <c r="D19" i="1"/>
  <c r="D18" i="1"/>
  <c r="C19" i="1"/>
  <c r="C18" i="1"/>
  <c r="C17" i="1"/>
  <c r="C16" i="1"/>
  <c r="D17" i="1"/>
  <c r="D16" i="1"/>
  <c r="E15" i="1"/>
  <c r="E14" i="1"/>
  <c r="D15" i="1"/>
  <c r="D14" i="1"/>
  <c r="C15" i="1"/>
  <c r="C14" i="1"/>
  <c r="E13" i="1"/>
  <c r="D13" i="1"/>
  <c r="C13" i="1"/>
  <c r="C12" i="1"/>
  <c r="E12" i="1"/>
  <c r="D12" i="1"/>
  <c r="E11" i="1"/>
  <c r="E10" i="1"/>
  <c r="D11" i="1"/>
  <c r="D10" i="1"/>
  <c r="C11" i="1"/>
  <c r="C10" i="1"/>
  <c r="E9" i="1"/>
  <c r="E8" i="1"/>
  <c r="D7" i="1"/>
  <c r="D6" i="1"/>
  <c r="C5" i="1"/>
  <c r="C4" i="1"/>
</calcChain>
</file>

<file path=xl/sharedStrings.xml><?xml version="1.0" encoding="utf-8"?>
<sst xmlns="http://schemas.openxmlformats.org/spreadsheetml/2006/main" count="27" uniqueCount="13">
  <si>
    <t>PL</t>
  </si>
  <si>
    <t>PM</t>
  </si>
  <si>
    <t>LM</t>
  </si>
  <si>
    <t>replicate</t>
  </si>
  <si>
    <t>M9</t>
  </si>
  <si>
    <t>label</t>
  </si>
  <si>
    <t>PLPMLM</t>
  </si>
  <si>
    <t>plPMLM</t>
  </si>
  <si>
    <t>PLpmLM</t>
  </si>
  <si>
    <t>PLPMlm</t>
  </si>
  <si>
    <t>plpmLM</t>
  </si>
  <si>
    <t>plPMlm</t>
  </si>
  <si>
    <t>PLpmlm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</si>
</sst>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08DE-1F5A-CB4C-AC13-3DBC940DFEE1}">
  <dimension ref="A1:E23"/>
  <sheetViews>
    <sheetView tabSelected="1" topLeftCell="A7" zoomScale="184" workbookViewId="0">
      <selection activeCell="G21" sqref="G21"/>
    </sheetView>
  </sheetViews>
  <sheetFormatPr baseColWidth="10" defaultRowHeight="16" x14ac:dyDescent="0.2"/>
  <sheetData>
    <row r="1" spans="1:5" x14ac:dyDescent="0.2">
      <c r="A1" t="s">
        <v>5</v>
      </c>
      <c r="B1" t="s">
        <v>3</v>
      </c>
      <c r="C1" t="s">
        <v>0</v>
      </c>
      <c r="D1" t="s">
        <v>1</v>
      </c>
      <c r="E1" t="s">
        <v>2</v>
      </c>
    </row>
    <row r="2" spans="1:5" x14ac:dyDescent="0.2">
      <c r="A2" t="s">
        <v>4</v>
      </c>
      <c r="B2">
        <v>1</v>
      </c>
      <c r="C2">
        <v>0</v>
      </c>
      <c r="D2">
        <v>0</v>
      </c>
      <c r="E2">
        <v>0</v>
      </c>
    </row>
    <row r="3" spans="1:5" x14ac:dyDescent="0.2">
      <c r="A3" t="s">
        <v>4</v>
      </c>
      <c r="B3">
        <v>2</v>
      </c>
      <c r="C3">
        <v>0</v>
      </c>
      <c r="D3">
        <v>0</v>
      </c>
      <c r="E3">
        <v>0</v>
      </c>
    </row>
    <row r="4" spans="1:5" x14ac:dyDescent="0.2">
      <c r="A4" t="s">
        <v>0</v>
      </c>
      <c r="B4">
        <v>1</v>
      </c>
      <c r="C4">
        <f>65/(10^(-4)*0.01)</f>
        <v>64999999.999999993</v>
      </c>
      <c r="D4">
        <v>0</v>
      </c>
      <c r="E4">
        <v>0</v>
      </c>
    </row>
    <row r="5" spans="1:5" x14ac:dyDescent="0.2">
      <c r="A5" t="s">
        <v>0</v>
      </c>
      <c r="B5">
        <v>2</v>
      </c>
      <c r="C5">
        <f>73/(10^(-4)*0.01)</f>
        <v>72999999.999999985</v>
      </c>
      <c r="D5">
        <v>0</v>
      </c>
      <c r="E5">
        <v>0</v>
      </c>
    </row>
    <row r="6" spans="1:5" x14ac:dyDescent="0.2">
      <c r="A6" t="s">
        <v>1</v>
      </c>
      <c r="B6">
        <v>1</v>
      </c>
      <c r="C6">
        <v>0</v>
      </c>
      <c r="D6">
        <f>53/(10^(-4)*0.01)</f>
        <v>52999999.999999993</v>
      </c>
      <c r="E6">
        <v>0</v>
      </c>
    </row>
    <row r="7" spans="1:5" x14ac:dyDescent="0.2">
      <c r="A7" t="s">
        <v>1</v>
      </c>
      <c r="B7">
        <v>2</v>
      </c>
      <c r="C7">
        <v>0</v>
      </c>
      <c r="D7">
        <f>69/(10^(-4)*0.01)</f>
        <v>68999999.999999985</v>
      </c>
      <c r="E7">
        <v>0</v>
      </c>
    </row>
    <row r="8" spans="1:5" x14ac:dyDescent="0.2">
      <c r="A8" t="s">
        <v>2</v>
      </c>
      <c r="B8">
        <v>1</v>
      </c>
      <c r="C8">
        <v>0</v>
      </c>
      <c r="D8">
        <v>0</v>
      </c>
      <c r="E8">
        <f>66/(10^(-4)*0.01)</f>
        <v>65999999.999999993</v>
      </c>
    </row>
    <row r="9" spans="1:5" x14ac:dyDescent="0.2">
      <c r="A9" t="s">
        <v>2</v>
      </c>
      <c r="B9">
        <v>2</v>
      </c>
      <c r="C9">
        <v>0</v>
      </c>
      <c r="D9">
        <v>0</v>
      </c>
      <c r="E9">
        <f>58/(10^(-4)*0.01)</f>
        <v>57999999.999999993</v>
      </c>
    </row>
    <row r="10" spans="1:5" x14ac:dyDescent="0.2">
      <c r="A10" s="1" t="s">
        <v>6</v>
      </c>
      <c r="B10">
        <v>1</v>
      </c>
      <c r="C10">
        <f>54/(10^(-4)*0.01)</f>
        <v>53999999.999999993</v>
      </c>
      <c r="D10">
        <f>64/(10^(-4)*0.01)</f>
        <v>63999999.999999993</v>
      </c>
      <c r="E10">
        <f>46/(10^(-4)*0.01)</f>
        <v>45999999.999999993</v>
      </c>
    </row>
    <row r="11" spans="1:5" x14ac:dyDescent="0.2">
      <c r="A11" s="1" t="s">
        <v>6</v>
      </c>
      <c r="B11">
        <v>2</v>
      </c>
      <c r="C11">
        <f>53/(10^(-4)*0.01)</f>
        <v>52999999.999999993</v>
      </c>
      <c r="D11">
        <f>72/(10^(-4)*0.01)</f>
        <v>71999999.999999985</v>
      </c>
      <c r="E11">
        <f>44/(10^(-4)*0.01)</f>
        <v>43999999.999999993</v>
      </c>
    </row>
    <row r="12" spans="1:5" x14ac:dyDescent="0.2">
      <c r="A12" t="s">
        <v>7</v>
      </c>
      <c r="B12">
        <v>1</v>
      </c>
      <c r="C12">
        <f>3/(10^(-3)*0.01)</f>
        <v>300000</v>
      </c>
      <c r="D12">
        <f>72/(10^(-4)*0.01)</f>
        <v>71999999.999999985</v>
      </c>
      <c r="E12">
        <f>53/(10^(-4)*0.01)</f>
        <v>52999999.999999993</v>
      </c>
    </row>
    <row r="13" spans="1:5" x14ac:dyDescent="0.2">
      <c r="A13" t="s">
        <v>7</v>
      </c>
      <c r="B13">
        <v>2</v>
      </c>
      <c r="C13">
        <f>5/(10^(-3)*0.01)</f>
        <v>499999.99999999994</v>
      </c>
      <c r="D13">
        <f>83/(10^(-4)*0.01)</f>
        <v>82999999.999999985</v>
      </c>
      <c r="E13">
        <f>62/(10^(-4)*0.01)</f>
        <v>61999999.999999993</v>
      </c>
    </row>
    <row r="14" spans="1:5" x14ac:dyDescent="0.2">
      <c r="A14" t="s">
        <v>8</v>
      </c>
      <c r="B14">
        <v>1</v>
      </c>
      <c r="C14">
        <f>53/(10^(-4)*0.01)</f>
        <v>52999999.999999993</v>
      </c>
      <c r="D14">
        <f>9/(10^(-3)*0.01)</f>
        <v>899999.99999999988</v>
      </c>
      <c r="E14">
        <f>62/(10^(-4)*0.01)</f>
        <v>61999999.999999993</v>
      </c>
    </row>
    <row r="15" spans="1:5" x14ac:dyDescent="0.2">
      <c r="A15" t="s">
        <v>8</v>
      </c>
      <c r="B15">
        <v>2</v>
      </c>
      <c r="C15">
        <f>62/(10^(-4)*0.01)</f>
        <v>61999999.999999993</v>
      </c>
      <c r="D15">
        <f>7/(10^(-3)*0.01)</f>
        <v>700000</v>
      </c>
      <c r="E15">
        <f>51/(10^(-4)*0.01)</f>
        <v>50999999.999999993</v>
      </c>
    </row>
    <row r="16" spans="1:5" x14ac:dyDescent="0.2">
      <c r="A16" t="s">
        <v>9</v>
      </c>
      <c r="B16">
        <v>1</v>
      </c>
      <c r="C16">
        <f>66/(10^(-4)*0.01)</f>
        <v>65999999.999999993</v>
      </c>
      <c r="D16">
        <f>69/(10^(-4)*0.01)</f>
        <v>68999999.999999985</v>
      </c>
      <c r="E16">
        <v>0</v>
      </c>
    </row>
    <row r="17" spans="1:5" x14ac:dyDescent="0.2">
      <c r="A17" t="s">
        <v>9</v>
      </c>
      <c r="B17">
        <v>2</v>
      </c>
      <c r="C17">
        <f>49/(10^(-4)*0.01)</f>
        <v>48999999.999999993</v>
      </c>
      <c r="D17">
        <f>61/(10^(-4)*0.01)</f>
        <v>60999999.999999993</v>
      </c>
      <c r="E17">
        <v>0</v>
      </c>
    </row>
    <row r="18" spans="1:5" x14ac:dyDescent="0.2">
      <c r="A18" t="s">
        <v>10</v>
      </c>
      <c r="B18">
        <v>1</v>
      </c>
      <c r="C18">
        <f>9/(10^(-3)*0.01)</f>
        <v>899999.99999999988</v>
      </c>
      <c r="D18">
        <f>7/(10^(-3)*0.01)</f>
        <v>700000</v>
      </c>
      <c r="E18">
        <f>56/(10^(-4)*0.01)</f>
        <v>55999999.999999993</v>
      </c>
    </row>
    <row r="19" spans="1:5" x14ac:dyDescent="0.2">
      <c r="A19" t="s">
        <v>10</v>
      </c>
      <c r="B19">
        <v>2</v>
      </c>
      <c r="C19">
        <f>4/(10^(-3)*0.01)</f>
        <v>399999.99999999994</v>
      </c>
      <c r="D19">
        <f>8/(10^(-3)*0.01)</f>
        <v>799999.99999999988</v>
      </c>
      <c r="E19">
        <f>57/(10^(-4)*0.01)</f>
        <v>56999999.999999993</v>
      </c>
    </row>
    <row r="20" spans="1:5" x14ac:dyDescent="0.2">
      <c r="A20" t="s">
        <v>11</v>
      </c>
      <c r="B20">
        <v>1</v>
      </c>
      <c r="C20">
        <f>3/(10^(-3)*0.01)</f>
        <v>300000</v>
      </c>
      <c r="D20">
        <f>52/(10^(-4)*0.01)</f>
        <v>51999999.999999993</v>
      </c>
      <c r="E20">
        <f>3/(10^(-3)*0.01)</f>
        <v>300000</v>
      </c>
    </row>
    <row r="21" spans="1:5" x14ac:dyDescent="0.2">
      <c r="A21" t="s">
        <v>11</v>
      </c>
      <c r="B21">
        <v>2</v>
      </c>
      <c r="C21">
        <f>6/(10^(-3)*0.01)</f>
        <v>600000</v>
      </c>
      <c r="D21">
        <f>52/(10^(-4)*0.01)</f>
        <v>51999999.999999993</v>
      </c>
      <c r="E21">
        <f>2/(10^(-3)*0.01)</f>
        <v>199999.99999999997</v>
      </c>
    </row>
    <row r="22" spans="1:5" x14ac:dyDescent="0.2">
      <c r="A22" t="s">
        <v>12</v>
      </c>
      <c r="B22">
        <v>1</v>
      </c>
      <c r="C22">
        <f>61/(10^(-4)*0.01)</f>
        <v>60999999.999999993</v>
      </c>
      <c r="D22">
        <f>9/(10^(-3)*0.01)</f>
        <v>899999.99999999988</v>
      </c>
      <c r="E22">
        <f>1/(10^(-3)*0.01)</f>
        <v>99999.999999999985</v>
      </c>
    </row>
    <row r="23" spans="1:5" x14ac:dyDescent="0.2">
      <c r="A23" t="s">
        <v>12</v>
      </c>
      <c r="B23">
        <v>2</v>
      </c>
      <c r="C23">
        <f>50/(10^(-4)*0.01)</f>
        <v>49999999.999999993</v>
      </c>
      <c r="D23">
        <f>16/(10^(-3)*0.01)</f>
        <v>1599999.9999999998</v>
      </c>
      <c r="E23">
        <f>2/(10^(-3)*0.01)</f>
        <v>199999.99999999997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2025-11-12T09:31:05Z</dcterms:created>
  <dcterms:modified xsi:type="dcterms:W3CDTF">2026-03-18T14:18:57Z</dcterms:modified>
</cp:coreProperties>
</file>