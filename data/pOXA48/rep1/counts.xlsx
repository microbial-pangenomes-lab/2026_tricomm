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storage/hien/Hien PhD project new/Result/Full lab evolution exp/pOXA48 plasmid/20251106 1st rep/Scanner/"/>
    </mc:Choice>
  </mc:AlternateContent>
  <xr:revisionPtr revIDLastSave="0" documentId="13_ncr:1_{43E9F85D-8A00-1C43-AA5D-C33D2056C172}" xr6:coauthVersionLast="47" xr6:coauthVersionMax="47" xr10:uidLastSave="{00000000-0000-0000-0000-000000000000}"/>
  <bookViews>
    <workbookView xWindow="0" yWindow="500" windowWidth="38400" windowHeight="19640" xr2:uid="{F0941CDE-55DC-E949-AB0F-9CFF344905A0}"/>
  </bookViews>
  <sheets>
    <sheet name="coun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60" i="1" l="1"/>
  <c r="F158" i="1"/>
  <c r="F156" i="1"/>
  <c r="F147" i="1"/>
  <c r="E147" i="1"/>
  <c r="F144" i="1"/>
  <c r="F131" i="1"/>
  <c r="E131" i="1"/>
  <c r="F128" i="1"/>
  <c r="F124" i="1"/>
  <c r="F115" i="1"/>
  <c r="E115" i="1"/>
  <c r="D115" i="1"/>
  <c r="F108" i="1"/>
  <c r="F99" i="1"/>
  <c r="E99" i="1"/>
  <c r="D99" i="1"/>
  <c r="F83" i="1"/>
  <c r="D83" i="1"/>
  <c r="E83" i="1"/>
  <c r="F43" i="1"/>
  <c r="F27" i="1"/>
  <c r="F161" i="1"/>
  <c r="F153" i="1"/>
  <c r="E153" i="1"/>
  <c r="D153" i="1"/>
  <c r="E152" i="1"/>
  <c r="D152" i="1"/>
  <c r="D159" i="1"/>
  <c r="E151" i="1"/>
  <c r="D151" i="1"/>
  <c r="E150" i="1"/>
  <c r="D150" i="1"/>
  <c r="D157" i="1"/>
  <c r="F149" i="1"/>
  <c r="E149" i="1"/>
  <c r="D149" i="1"/>
  <c r="F148" i="1"/>
  <c r="E148" i="1"/>
  <c r="D148" i="1"/>
  <c r="F145" i="1"/>
  <c r="F137" i="1"/>
  <c r="E137" i="1"/>
  <c r="D137" i="1"/>
  <c r="E136" i="1"/>
  <c r="D136" i="1"/>
  <c r="E143" i="1"/>
  <c r="D143" i="1"/>
  <c r="F142" i="1"/>
  <c r="E135" i="1"/>
  <c r="D135" i="1"/>
  <c r="E134" i="1"/>
  <c r="D134" i="1"/>
  <c r="D141" i="1"/>
  <c r="F133" i="1"/>
  <c r="E133" i="1"/>
  <c r="D133" i="1"/>
  <c r="E132" i="1"/>
  <c r="D132" i="1"/>
  <c r="E121" i="1"/>
  <c r="D121" i="1"/>
  <c r="F120" i="1"/>
  <c r="E120" i="1"/>
  <c r="D120" i="1"/>
  <c r="F129" i="1"/>
  <c r="D127" i="1"/>
  <c r="F126" i="1"/>
  <c r="E119" i="1"/>
  <c r="D119" i="1"/>
  <c r="E118" i="1"/>
  <c r="D118" i="1"/>
  <c r="F125" i="1"/>
  <c r="D125" i="1"/>
  <c r="E117" i="1"/>
  <c r="D117" i="1"/>
  <c r="E116" i="1"/>
  <c r="D116" i="1"/>
  <c r="F105" i="1"/>
  <c r="E105" i="1"/>
  <c r="D105" i="1"/>
  <c r="F104" i="1"/>
  <c r="D104" i="1"/>
  <c r="E104" i="1"/>
  <c r="F112" i="1"/>
  <c r="F113" i="1"/>
  <c r="D111" i="1"/>
  <c r="D109" i="1"/>
  <c r="F109" i="1"/>
  <c r="F110" i="1"/>
  <c r="E103" i="1"/>
  <c r="D100" i="1"/>
  <c r="D103" i="1"/>
  <c r="F102" i="1"/>
  <c r="E102" i="1"/>
  <c r="D102" i="1"/>
  <c r="E101" i="1"/>
  <c r="D101" i="1"/>
  <c r="F100" i="1"/>
  <c r="E100" i="1"/>
  <c r="F92" i="1"/>
</calcChain>
</file>

<file path=xl/sharedStrings.xml><?xml version="1.0" encoding="utf-8"?>
<sst xmlns="http://schemas.openxmlformats.org/spreadsheetml/2006/main" count="486" uniqueCount="26">
  <si>
    <t>vial</t>
  </si>
  <si>
    <t>time</t>
  </si>
  <si>
    <t>antibiotic</t>
  </si>
  <si>
    <t>PL</t>
  </si>
  <si>
    <t>PM</t>
  </si>
  <si>
    <t>LM</t>
  </si>
  <si>
    <t>M0</t>
  </si>
  <si>
    <t>2h</t>
  </si>
  <si>
    <t>KAN</t>
  </si>
  <si>
    <t>M1</t>
  </si>
  <si>
    <t>M2</t>
  </si>
  <si>
    <t>M3</t>
  </si>
  <si>
    <t>M4</t>
  </si>
  <si>
    <t>M5</t>
  </si>
  <si>
    <t>M6</t>
  </si>
  <si>
    <t>M7</t>
  </si>
  <si>
    <t>AMP</t>
  </si>
  <si>
    <t>20h</t>
  </si>
  <si>
    <t>44h</t>
  </si>
  <si>
    <t>64h</t>
  </si>
  <si>
    <t>88h</t>
  </si>
  <si>
    <t>112h</t>
  </si>
  <si>
    <t>136h</t>
  </si>
  <si>
    <t>160h</t>
  </si>
  <si>
    <t>184h</t>
  </si>
  <si>
    <t>208h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</si>
</sst>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408DE-1F5A-CB4C-AC13-3DBC940DFEE1}">
  <dimension ref="A1:F161"/>
  <sheetViews>
    <sheetView tabSelected="1" topLeftCell="A140" zoomScale="184" workbookViewId="0">
      <selection activeCell="B146" sqref="B146:B161"/>
    </sheetView>
  </sheetViews>
  <sheetFormatPr baseColWidth="10" defaultRowHeight="16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t="s">
        <v>6</v>
      </c>
      <c r="B2" t="s">
        <v>7</v>
      </c>
      <c r="C2" t="s">
        <v>8</v>
      </c>
      <c r="D2">
        <v>60000000</v>
      </c>
      <c r="E2">
        <v>50000000</v>
      </c>
      <c r="F2">
        <v>55000000</v>
      </c>
    </row>
    <row r="3" spans="1:6" x14ac:dyDescent="0.2">
      <c r="A3" t="s">
        <v>9</v>
      </c>
      <c r="B3" t="s">
        <v>7</v>
      </c>
      <c r="C3" t="s">
        <v>8</v>
      </c>
      <c r="D3">
        <v>28000000</v>
      </c>
      <c r="E3">
        <v>24000000</v>
      </c>
      <c r="F3">
        <v>32000000</v>
      </c>
    </row>
    <row r="4" spans="1:6" x14ac:dyDescent="0.2">
      <c r="A4" t="s">
        <v>10</v>
      </c>
      <c r="B4" t="s">
        <v>7</v>
      </c>
      <c r="C4" t="s">
        <v>8</v>
      </c>
      <c r="D4">
        <v>40000000</v>
      </c>
      <c r="E4">
        <v>63000000</v>
      </c>
      <c r="F4">
        <v>54000000</v>
      </c>
    </row>
    <row r="5" spans="1:6" x14ac:dyDescent="0.2">
      <c r="A5" t="s">
        <v>11</v>
      </c>
      <c r="B5" t="s">
        <v>7</v>
      </c>
      <c r="C5" t="s">
        <v>8</v>
      </c>
      <c r="D5">
        <v>36000000</v>
      </c>
      <c r="E5">
        <v>42000000</v>
      </c>
      <c r="F5">
        <v>51000000</v>
      </c>
    </row>
    <row r="6" spans="1:6" x14ac:dyDescent="0.2">
      <c r="A6" t="s">
        <v>12</v>
      </c>
      <c r="B6" t="s">
        <v>7</v>
      </c>
      <c r="C6" t="s">
        <v>8</v>
      </c>
      <c r="D6">
        <v>30000000</v>
      </c>
      <c r="E6">
        <v>110000000</v>
      </c>
      <c r="F6">
        <v>110000000</v>
      </c>
    </row>
    <row r="7" spans="1:6" x14ac:dyDescent="0.2">
      <c r="A7" t="s">
        <v>13</v>
      </c>
      <c r="B7" t="s">
        <v>7</v>
      </c>
      <c r="C7" t="s">
        <v>8</v>
      </c>
      <c r="D7">
        <v>20000000</v>
      </c>
      <c r="E7">
        <v>50000000</v>
      </c>
      <c r="F7">
        <v>140000000</v>
      </c>
    </row>
    <row r="8" spans="1:6" x14ac:dyDescent="0.2">
      <c r="A8" t="s">
        <v>14</v>
      </c>
      <c r="B8" t="s">
        <v>7</v>
      </c>
      <c r="C8" t="s">
        <v>8</v>
      </c>
      <c r="D8">
        <v>30000000</v>
      </c>
      <c r="E8">
        <v>70000000</v>
      </c>
      <c r="F8">
        <v>80000000</v>
      </c>
    </row>
    <row r="9" spans="1:6" x14ac:dyDescent="0.2">
      <c r="A9" t="s">
        <v>15</v>
      </c>
      <c r="B9" t="s">
        <v>7</v>
      </c>
      <c r="C9" t="s">
        <v>8</v>
      </c>
      <c r="D9">
        <v>40000000</v>
      </c>
      <c r="E9">
        <v>50000000</v>
      </c>
      <c r="F9">
        <v>90000000</v>
      </c>
    </row>
    <row r="10" spans="1:6" x14ac:dyDescent="0.2">
      <c r="A10" t="s">
        <v>6</v>
      </c>
      <c r="B10" t="s">
        <v>7</v>
      </c>
      <c r="C10" t="s">
        <v>16</v>
      </c>
      <c r="D10">
        <v>0</v>
      </c>
      <c r="E10">
        <v>0</v>
      </c>
      <c r="F10">
        <v>0</v>
      </c>
    </row>
    <row r="11" spans="1:6" x14ac:dyDescent="0.2">
      <c r="A11" t="s">
        <v>9</v>
      </c>
      <c r="B11" t="s">
        <v>7</v>
      </c>
      <c r="C11" t="s">
        <v>16</v>
      </c>
      <c r="D11">
        <v>0</v>
      </c>
      <c r="E11">
        <v>0</v>
      </c>
      <c r="F11">
        <v>0</v>
      </c>
    </row>
    <row r="12" spans="1:6" x14ac:dyDescent="0.2">
      <c r="A12" t="s">
        <v>10</v>
      </c>
      <c r="B12" t="s">
        <v>7</v>
      </c>
      <c r="C12" t="s">
        <v>16</v>
      </c>
      <c r="D12">
        <v>0</v>
      </c>
      <c r="E12">
        <v>0</v>
      </c>
      <c r="F12">
        <v>14000000</v>
      </c>
    </row>
    <row r="13" spans="1:6" x14ac:dyDescent="0.2">
      <c r="A13" t="s">
        <v>11</v>
      </c>
      <c r="B13" t="s">
        <v>7</v>
      </c>
      <c r="C13" t="s">
        <v>16</v>
      </c>
      <c r="D13">
        <v>0</v>
      </c>
      <c r="E13">
        <v>0</v>
      </c>
      <c r="F13">
        <v>12000000</v>
      </c>
    </row>
    <row r="14" spans="1:6" x14ac:dyDescent="0.2">
      <c r="A14" t="s">
        <v>12</v>
      </c>
      <c r="B14" t="s">
        <v>7</v>
      </c>
      <c r="C14" t="s">
        <v>16</v>
      </c>
      <c r="D14">
        <v>0</v>
      </c>
      <c r="E14">
        <v>0</v>
      </c>
      <c r="F14">
        <v>180000000</v>
      </c>
    </row>
    <row r="15" spans="1:6" x14ac:dyDescent="0.2">
      <c r="A15" t="s">
        <v>13</v>
      </c>
      <c r="B15" t="s">
        <v>7</v>
      </c>
      <c r="C15" t="s">
        <v>16</v>
      </c>
      <c r="D15">
        <v>0</v>
      </c>
      <c r="E15">
        <v>0</v>
      </c>
      <c r="F15">
        <v>80000000</v>
      </c>
    </row>
    <row r="16" spans="1:6" x14ac:dyDescent="0.2">
      <c r="A16" t="s">
        <v>14</v>
      </c>
      <c r="B16" t="s">
        <v>7</v>
      </c>
      <c r="C16" t="s">
        <v>16</v>
      </c>
      <c r="D16">
        <v>0</v>
      </c>
      <c r="E16">
        <v>0</v>
      </c>
      <c r="F16">
        <v>70000000</v>
      </c>
    </row>
    <row r="17" spans="1:6" x14ac:dyDescent="0.2">
      <c r="A17" t="s">
        <v>15</v>
      </c>
      <c r="B17" t="s">
        <v>7</v>
      </c>
      <c r="C17" t="s">
        <v>16</v>
      </c>
      <c r="D17">
        <v>0</v>
      </c>
      <c r="E17">
        <v>0</v>
      </c>
      <c r="F17">
        <v>89000000</v>
      </c>
    </row>
    <row r="18" spans="1:6" x14ac:dyDescent="0.2">
      <c r="A18" t="s">
        <v>6</v>
      </c>
      <c r="B18" t="s">
        <v>17</v>
      </c>
      <c r="C18" t="s">
        <v>8</v>
      </c>
      <c r="D18">
        <v>38000000</v>
      </c>
      <c r="E18">
        <v>32000000</v>
      </c>
      <c r="F18">
        <v>57000000</v>
      </c>
    </row>
    <row r="19" spans="1:6" x14ac:dyDescent="0.2">
      <c r="A19" t="s">
        <v>9</v>
      </c>
      <c r="B19" t="s">
        <v>17</v>
      </c>
      <c r="C19" t="s">
        <v>8</v>
      </c>
      <c r="D19">
        <v>2000000</v>
      </c>
      <c r="E19">
        <v>40000000</v>
      </c>
      <c r="F19">
        <v>9000000</v>
      </c>
    </row>
    <row r="20" spans="1:6" x14ac:dyDescent="0.2">
      <c r="A20" t="s">
        <v>10</v>
      </c>
      <c r="B20" t="s">
        <v>17</v>
      </c>
      <c r="C20" t="s">
        <v>8</v>
      </c>
      <c r="D20">
        <v>32000000</v>
      </c>
      <c r="E20">
        <v>41000000</v>
      </c>
      <c r="F20">
        <v>66000000</v>
      </c>
    </row>
    <row r="21" spans="1:6" x14ac:dyDescent="0.2">
      <c r="A21" t="s">
        <v>11</v>
      </c>
      <c r="B21" t="s">
        <v>17</v>
      </c>
      <c r="C21" t="s">
        <v>8</v>
      </c>
      <c r="D21">
        <v>13000000</v>
      </c>
      <c r="E21">
        <v>39000000</v>
      </c>
      <c r="F21">
        <v>34000000</v>
      </c>
    </row>
    <row r="22" spans="1:6" x14ac:dyDescent="0.2">
      <c r="A22" t="s">
        <v>12</v>
      </c>
      <c r="B22" t="s">
        <v>17</v>
      </c>
      <c r="C22" t="s">
        <v>8</v>
      </c>
      <c r="D22">
        <v>41000000</v>
      </c>
      <c r="E22">
        <v>30000000</v>
      </c>
      <c r="F22">
        <v>92000000</v>
      </c>
    </row>
    <row r="23" spans="1:6" x14ac:dyDescent="0.2">
      <c r="A23" t="s">
        <v>13</v>
      </c>
      <c r="B23" t="s">
        <v>17</v>
      </c>
      <c r="C23" t="s">
        <v>8</v>
      </c>
      <c r="D23">
        <v>19000000</v>
      </c>
      <c r="E23">
        <v>27000000</v>
      </c>
      <c r="F23">
        <v>90000000</v>
      </c>
    </row>
    <row r="24" spans="1:6" x14ac:dyDescent="0.2">
      <c r="A24" t="s">
        <v>14</v>
      </c>
      <c r="B24" t="s">
        <v>17</v>
      </c>
      <c r="C24" t="s">
        <v>8</v>
      </c>
      <c r="D24">
        <v>42000000</v>
      </c>
      <c r="E24">
        <v>43000000</v>
      </c>
      <c r="F24">
        <v>33000000</v>
      </c>
    </row>
    <row r="25" spans="1:6" x14ac:dyDescent="0.2">
      <c r="A25" t="s">
        <v>15</v>
      </c>
      <c r="B25" t="s">
        <v>17</v>
      </c>
      <c r="C25" t="s">
        <v>8</v>
      </c>
      <c r="D25">
        <v>26000000</v>
      </c>
      <c r="E25">
        <v>27000000</v>
      </c>
      <c r="F25">
        <v>29000000</v>
      </c>
    </row>
    <row r="26" spans="1:6" x14ac:dyDescent="0.2">
      <c r="A26" t="s">
        <v>6</v>
      </c>
      <c r="B26" t="s">
        <v>17</v>
      </c>
      <c r="C26" t="s">
        <v>16</v>
      </c>
      <c r="D26">
        <v>0</v>
      </c>
      <c r="E26">
        <v>0</v>
      </c>
      <c r="F26">
        <v>0</v>
      </c>
    </row>
    <row r="27" spans="1:6" x14ac:dyDescent="0.2">
      <c r="A27" t="s">
        <v>9</v>
      </c>
      <c r="B27" t="s">
        <v>17</v>
      </c>
      <c r="C27" t="s">
        <v>16</v>
      </c>
      <c r="D27">
        <v>0</v>
      </c>
      <c r="E27">
        <v>0</v>
      </c>
      <c r="F27">
        <f>1/0.01</f>
        <v>100</v>
      </c>
    </row>
    <row r="28" spans="1:6" x14ac:dyDescent="0.2">
      <c r="A28" t="s">
        <v>10</v>
      </c>
      <c r="B28" t="s">
        <v>17</v>
      </c>
      <c r="C28" t="s">
        <v>16</v>
      </c>
      <c r="D28">
        <v>0</v>
      </c>
      <c r="E28">
        <v>0</v>
      </c>
      <c r="F28">
        <v>10100000</v>
      </c>
    </row>
    <row r="29" spans="1:6" x14ac:dyDescent="0.2">
      <c r="A29" t="s">
        <v>11</v>
      </c>
      <c r="B29" t="s">
        <v>17</v>
      </c>
      <c r="C29" t="s">
        <v>16</v>
      </c>
      <c r="D29">
        <v>0</v>
      </c>
      <c r="E29">
        <v>0</v>
      </c>
      <c r="F29">
        <v>13100000</v>
      </c>
    </row>
    <row r="30" spans="1:6" x14ac:dyDescent="0.2">
      <c r="A30" t="s">
        <v>12</v>
      </c>
      <c r="B30" t="s">
        <v>17</v>
      </c>
      <c r="C30" t="s">
        <v>16</v>
      </c>
      <c r="D30">
        <v>0</v>
      </c>
      <c r="E30">
        <v>0</v>
      </c>
      <c r="F30">
        <v>90000000</v>
      </c>
    </row>
    <row r="31" spans="1:6" x14ac:dyDescent="0.2">
      <c r="A31" t="s">
        <v>13</v>
      </c>
      <c r="B31" t="s">
        <v>17</v>
      </c>
      <c r="C31" t="s">
        <v>16</v>
      </c>
      <c r="D31">
        <v>0</v>
      </c>
      <c r="E31">
        <v>0</v>
      </c>
      <c r="F31">
        <v>98000000</v>
      </c>
    </row>
    <row r="32" spans="1:6" x14ac:dyDescent="0.2">
      <c r="A32" t="s">
        <v>14</v>
      </c>
      <c r="B32" t="s">
        <v>17</v>
      </c>
      <c r="C32" t="s">
        <v>16</v>
      </c>
      <c r="D32">
        <v>0</v>
      </c>
      <c r="E32">
        <v>0</v>
      </c>
      <c r="F32">
        <v>58000000</v>
      </c>
    </row>
    <row r="33" spans="1:6" x14ac:dyDescent="0.2">
      <c r="A33" t="s">
        <v>15</v>
      </c>
      <c r="B33" t="s">
        <v>17</v>
      </c>
      <c r="C33" t="s">
        <v>16</v>
      </c>
      <c r="D33">
        <v>0</v>
      </c>
      <c r="E33">
        <v>0</v>
      </c>
      <c r="F33">
        <v>52000000</v>
      </c>
    </row>
    <row r="34" spans="1:6" x14ac:dyDescent="0.2">
      <c r="A34" t="s">
        <v>6</v>
      </c>
      <c r="B34" t="s">
        <v>18</v>
      </c>
      <c r="C34" t="s">
        <v>8</v>
      </c>
      <c r="D34">
        <v>24000000</v>
      </c>
      <c r="E34">
        <v>32000000</v>
      </c>
      <c r="F34">
        <v>20000000</v>
      </c>
    </row>
    <row r="35" spans="1:6" x14ac:dyDescent="0.2">
      <c r="A35" t="s">
        <v>9</v>
      </c>
      <c r="B35" t="s">
        <v>18</v>
      </c>
      <c r="C35" t="s">
        <v>8</v>
      </c>
      <c r="D35">
        <v>100000</v>
      </c>
      <c r="E35">
        <v>22000000</v>
      </c>
      <c r="F35">
        <v>6000000</v>
      </c>
    </row>
    <row r="36" spans="1:6" x14ac:dyDescent="0.2">
      <c r="A36" t="s">
        <v>10</v>
      </c>
      <c r="B36" t="s">
        <v>18</v>
      </c>
      <c r="C36" t="s">
        <v>8</v>
      </c>
      <c r="D36">
        <v>10000000</v>
      </c>
      <c r="E36">
        <v>28000000</v>
      </c>
      <c r="F36">
        <v>24000000</v>
      </c>
    </row>
    <row r="37" spans="1:6" x14ac:dyDescent="0.2">
      <c r="A37" t="s">
        <v>11</v>
      </c>
      <c r="B37" t="s">
        <v>18</v>
      </c>
      <c r="C37" t="s">
        <v>8</v>
      </c>
      <c r="D37">
        <v>37000000</v>
      </c>
      <c r="E37">
        <v>86000000</v>
      </c>
      <c r="F37">
        <v>3000000</v>
      </c>
    </row>
    <row r="38" spans="1:6" x14ac:dyDescent="0.2">
      <c r="A38" t="s">
        <v>12</v>
      </c>
      <c r="B38" t="s">
        <v>18</v>
      </c>
      <c r="C38" t="s">
        <v>8</v>
      </c>
      <c r="D38">
        <v>23000000</v>
      </c>
      <c r="E38">
        <v>51000000</v>
      </c>
      <c r="F38">
        <v>22000000</v>
      </c>
    </row>
    <row r="39" spans="1:6" x14ac:dyDescent="0.2">
      <c r="A39" t="s">
        <v>13</v>
      </c>
      <c r="B39" t="s">
        <v>18</v>
      </c>
      <c r="C39" t="s">
        <v>8</v>
      </c>
      <c r="D39">
        <v>70000000</v>
      </c>
      <c r="E39">
        <v>150000000</v>
      </c>
      <c r="F39">
        <v>50000000</v>
      </c>
    </row>
    <row r="40" spans="1:6" x14ac:dyDescent="0.2">
      <c r="A40" t="s">
        <v>14</v>
      </c>
      <c r="B40" t="s">
        <v>18</v>
      </c>
      <c r="C40" t="s">
        <v>8</v>
      </c>
      <c r="D40">
        <v>23000000</v>
      </c>
      <c r="E40">
        <v>18000000</v>
      </c>
      <c r="F40">
        <v>19000000</v>
      </c>
    </row>
    <row r="41" spans="1:6" x14ac:dyDescent="0.2">
      <c r="A41" t="s">
        <v>15</v>
      </c>
      <c r="B41" t="s">
        <v>18</v>
      </c>
      <c r="C41" t="s">
        <v>8</v>
      </c>
      <c r="D41">
        <v>20000000</v>
      </c>
      <c r="E41">
        <v>18000000</v>
      </c>
      <c r="F41">
        <v>19000000</v>
      </c>
    </row>
    <row r="42" spans="1:6" x14ac:dyDescent="0.2">
      <c r="A42" t="s">
        <v>6</v>
      </c>
      <c r="B42" t="s">
        <v>18</v>
      </c>
      <c r="C42" t="s">
        <v>16</v>
      </c>
      <c r="D42">
        <v>0</v>
      </c>
      <c r="E42">
        <v>0</v>
      </c>
      <c r="F42">
        <v>0</v>
      </c>
    </row>
    <row r="43" spans="1:6" x14ac:dyDescent="0.2">
      <c r="A43" t="s">
        <v>9</v>
      </c>
      <c r="B43" t="s">
        <v>18</v>
      </c>
      <c r="C43" t="s">
        <v>16</v>
      </c>
      <c r="D43">
        <v>0</v>
      </c>
      <c r="E43">
        <v>0</v>
      </c>
      <c r="F43">
        <f>1/0.01</f>
        <v>100</v>
      </c>
    </row>
    <row r="44" spans="1:6" x14ac:dyDescent="0.2">
      <c r="A44" t="s">
        <v>10</v>
      </c>
      <c r="B44" t="s">
        <v>18</v>
      </c>
      <c r="C44" t="s">
        <v>16</v>
      </c>
      <c r="D44">
        <v>0</v>
      </c>
      <c r="E44">
        <v>0</v>
      </c>
      <c r="F44">
        <v>5100000</v>
      </c>
    </row>
    <row r="45" spans="1:6" x14ac:dyDescent="0.2">
      <c r="A45" t="s">
        <v>11</v>
      </c>
      <c r="B45" t="s">
        <v>18</v>
      </c>
      <c r="C45" t="s">
        <v>16</v>
      </c>
      <c r="D45">
        <v>0</v>
      </c>
      <c r="E45">
        <v>0</v>
      </c>
      <c r="F45">
        <v>3200000</v>
      </c>
    </row>
    <row r="46" spans="1:6" x14ac:dyDescent="0.2">
      <c r="A46" t="s">
        <v>12</v>
      </c>
      <c r="B46" t="s">
        <v>18</v>
      </c>
      <c r="C46" t="s">
        <v>16</v>
      </c>
      <c r="D46">
        <v>0</v>
      </c>
      <c r="E46">
        <v>0</v>
      </c>
      <c r="F46">
        <v>43000000</v>
      </c>
    </row>
    <row r="47" spans="1:6" x14ac:dyDescent="0.2">
      <c r="A47" t="s">
        <v>13</v>
      </c>
      <c r="B47" t="s">
        <v>18</v>
      </c>
      <c r="C47" t="s">
        <v>16</v>
      </c>
      <c r="D47">
        <v>0</v>
      </c>
      <c r="E47">
        <v>0</v>
      </c>
      <c r="F47">
        <v>36000000</v>
      </c>
    </row>
    <row r="48" spans="1:6" x14ac:dyDescent="0.2">
      <c r="A48" t="s">
        <v>14</v>
      </c>
      <c r="B48" t="s">
        <v>18</v>
      </c>
      <c r="C48" t="s">
        <v>16</v>
      </c>
      <c r="D48">
        <v>0</v>
      </c>
      <c r="E48">
        <v>0</v>
      </c>
      <c r="F48">
        <v>19000000</v>
      </c>
    </row>
    <row r="49" spans="1:6" x14ac:dyDescent="0.2">
      <c r="A49" t="s">
        <v>15</v>
      </c>
      <c r="B49" t="s">
        <v>18</v>
      </c>
      <c r="C49" t="s">
        <v>16</v>
      </c>
      <c r="D49">
        <v>0</v>
      </c>
      <c r="E49">
        <v>0</v>
      </c>
      <c r="F49">
        <v>23000000</v>
      </c>
    </row>
    <row r="50" spans="1:6" x14ac:dyDescent="0.2">
      <c r="A50" t="s">
        <v>6</v>
      </c>
      <c r="B50" t="s">
        <v>19</v>
      </c>
      <c r="C50" t="s">
        <v>8</v>
      </c>
    </row>
    <row r="51" spans="1:6" x14ac:dyDescent="0.2">
      <c r="A51" t="s">
        <v>9</v>
      </c>
      <c r="B51" t="s">
        <v>19</v>
      </c>
      <c r="C51" t="s">
        <v>8</v>
      </c>
      <c r="D51">
        <v>60000</v>
      </c>
      <c r="E51">
        <v>5000000</v>
      </c>
      <c r="F51">
        <v>2000000</v>
      </c>
    </row>
    <row r="52" spans="1:6" x14ac:dyDescent="0.2">
      <c r="A52" t="s">
        <v>10</v>
      </c>
      <c r="B52" t="s">
        <v>19</v>
      </c>
      <c r="C52" t="s">
        <v>8</v>
      </c>
      <c r="D52">
        <v>160000000</v>
      </c>
      <c r="E52">
        <v>150000000</v>
      </c>
      <c r="F52">
        <v>2000000</v>
      </c>
    </row>
    <row r="53" spans="1:6" x14ac:dyDescent="0.2">
      <c r="A53" t="s">
        <v>11</v>
      </c>
      <c r="B53" t="s">
        <v>19</v>
      </c>
      <c r="C53" t="s">
        <v>8</v>
      </c>
      <c r="D53">
        <v>7000000</v>
      </c>
      <c r="E53">
        <v>60000000</v>
      </c>
      <c r="F53">
        <v>100000</v>
      </c>
    </row>
    <row r="54" spans="1:6" x14ac:dyDescent="0.2">
      <c r="A54" t="s">
        <v>12</v>
      </c>
      <c r="B54" t="s">
        <v>19</v>
      </c>
      <c r="C54" t="s">
        <v>8</v>
      </c>
      <c r="D54">
        <v>210000000</v>
      </c>
      <c r="E54">
        <v>160000000</v>
      </c>
      <c r="F54">
        <v>10000000</v>
      </c>
    </row>
    <row r="55" spans="1:6" x14ac:dyDescent="0.2">
      <c r="A55" t="s">
        <v>13</v>
      </c>
      <c r="B55" t="s">
        <v>19</v>
      </c>
      <c r="C55" t="s">
        <v>8</v>
      </c>
      <c r="D55">
        <v>4000000</v>
      </c>
      <c r="E55">
        <v>64000000</v>
      </c>
      <c r="F55">
        <v>18000000</v>
      </c>
    </row>
    <row r="56" spans="1:6" x14ac:dyDescent="0.2">
      <c r="A56" t="s">
        <v>14</v>
      </c>
      <c r="B56" t="s">
        <v>19</v>
      </c>
      <c r="C56" t="s">
        <v>8</v>
      </c>
      <c r="D56">
        <v>190000000</v>
      </c>
      <c r="E56">
        <v>140000000</v>
      </c>
      <c r="F56">
        <v>10000000</v>
      </c>
    </row>
    <row r="57" spans="1:6" x14ac:dyDescent="0.2">
      <c r="A57" t="s">
        <v>15</v>
      </c>
      <c r="B57" t="s">
        <v>19</v>
      </c>
      <c r="C57" t="s">
        <v>8</v>
      </c>
      <c r="D57">
        <v>150000000</v>
      </c>
      <c r="E57">
        <v>140000000</v>
      </c>
      <c r="F57">
        <v>10000000</v>
      </c>
    </row>
    <row r="58" spans="1:6" x14ac:dyDescent="0.2">
      <c r="A58" t="s">
        <v>6</v>
      </c>
      <c r="B58" t="s">
        <v>19</v>
      </c>
      <c r="C58" t="s">
        <v>16</v>
      </c>
    </row>
    <row r="59" spans="1:6" x14ac:dyDescent="0.2">
      <c r="A59" t="s">
        <v>9</v>
      </c>
      <c r="B59" t="s">
        <v>19</v>
      </c>
      <c r="C59" t="s">
        <v>16</v>
      </c>
      <c r="D59">
        <v>0</v>
      </c>
      <c r="E59">
        <v>0</v>
      </c>
      <c r="F59">
        <v>0</v>
      </c>
    </row>
    <row r="60" spans="1:6" x14ac:dyDescent="0.2">
      <c r="A60" t="s">
        <v>10</v>
      </c>
      <c r="B60" t="s">
        <v>19</v>
      </c>
      <c r="C60" t="s">
        <v>16</v>
      </c>
      <c r="D60">
        <v>0</v>
      </c>
      <c r="E60">
        <v>0</v>
      </c>
      <c r="F60">
        <v>1500000</v>
      </c>
    </row>
    <row r="61" spans="1:6" x14ac:dyDescent="0.2">
      <c r="A61" t="s">
        <v>11</v>
      </c>
      <c r="B61" t="s">
        <v>19</v>
      </c>
      <c r="C61" t="s">
        <v>16</v>
      </c>
      <c r="D61">
        <v>0</v>
      </c>
      <c r="E61">
        <v>0</v>
      </c>
      <c r="F61">
        <v>400000</v>
      </c>
    </row>
    <row r="62" spans="1:6" x14ac:dyDescent="0.2">
      <c r="A62" t="s">
        <v>12</v>
      </c>
      <c r="B62" t="s">
        <v>19</v>
      </c>
      <c r="C62" t="s">
        <v>16</v>
      </c>
      <c r="D62">
        <v>0</v>
      </c>
      <c r="E62">
        <v>0</v>
      </c>
      <c r="F62">
        <v>9000000</v>
      </c>
    </row>
    <row r="63" spans="1:6" x14ac:dyDescent="0.2">
      <c r="A63" t="s">
        <v>13</v>
      </c>
      <c r="B63" t="s">
        <v>19</v>
      </c>
      <c r="C63" t="s">
        <v>16</v>
      </c>
      <c r="D63">
        <v>0</v>
      </c>
      <c r="E63">
        <v>0</v>
      </c>
      <c r="F63">
        <v>11000000</v>
      </c>
    </row>
    <row r="64" spans="1:6" x14ac:dyDescent="0.2">
      <c r="A64" t="s">
        <v>14</v>
      </c>
      <c r="B64" t="s">
        <v>19</v>
      </c>
      <c r="C64" t="s">
        <v>16</v>
      </c>
      <c r="D64">
        <v>0</v>
      </c>
      <c r="E64">
        <v>0</v>
      </c>
      <c r="F64">
        <v>12000000</v>
      </c>
    </row>
    <row r="65" spans="1:6" x14ac:dyDescent="0.2">
      <c r="A65" t="s">
        <v>15</v>
      </c>
      <c r="B65" t="s">
        <v>19</v>
      </c>
      <c r="C65" t="s">
        <v>16</v>
      </c>
      <c r="D65">
        <v>0</v>
      </c>
      <c r="E65">
        <v>0</v>
      </c>
      <c r="F65">
        <v>17000000</v>
      </c>
    </row>
    <row r="66" spans="1:6" x14ac:dyDescent="0.2">
      <c r="A66" t="s">
        <v>6</v>
      </c>
      <c r="B66" t="s">
        <v>20</v>
      </c>
      <c r="C66" t="s">
        <v>8</v>
      </c>
    </row>
    <row r="67" spans="1:6" x14ac:dyDescent="0.2">
      <c r="A67" t="s">
        <v>9</v>
      </c>
      <c r="B67" t="s">
        <v>20</v>
      </c>
      <c r="C67" t="s">
        <v>8</v>
      </c>
      <c r="D67">
        <v>3000</v>
      </c>
      <c r="E67">
        <v>180000</v>
      </c>
      <c r="F67">
        <v>230000</v>
      </c>
    </row>
    <row r="68" spans="1:6" x14ac:dyDescent="0.2">
      <c r="A68" t="s">
        <v>10</v>
      </c>
      <c r="B68" t="s">
        <v>20</v>
      </c>
      <c r="C68" t="s">
        <v>8</v>
      </c>
      <c r="D68">
        <v>30000000</v>
      </c>
      <c r="E68">
        <v>120000000</v>
      </c>
    </row>
    <row r="69" spans="1:6" x14ac:dyDescent="0.2">
      <c r="A69" t="s">
        <v>11</v>
      </c>
      <c r="B69" t="s">
        <v>20</v>
      </c>
      <c r="C69" t="s">
        <v>8</v>
      </c>
      <c r="D69">
        <v>4000</v>
      </c>
      <c r="E69">
        <v>22000000</v>
      </c>
      <c r="F69">
        <v>1000000</v>
      </c>
    </row>
    <row r="70" spans="1:6" x14ac:dyDescent="0.2">
      <c r="A70" t="s">
        <v>12</v>
      </c>
      <c r="B70" t="s">
        <v>20</v>
      </c>
      <c r="C70" t="s">
        <v>8</v>
      </c>
      <c r="D70">
        <v>62000000</v>
      </c>
      <c r="E70">
        <v>25000000</v>
      </c>
      <c r="F70">
        <v>2000000</v>
      </c>
    </row>
    <row r="71" spans="1:6" x14ac:dyDescent="0.2">
      <c r="A71" t="s">
        <v>13</v>
      </c>
      <c r="B71" t="s">
        <v>20</v>
      </c>
      <c r="C71" t="s">
        <v>8</v>
      </c>
      <c r="D71">
        <v>500000</v>
      </c>
      <c r="E71">
        <v>36000000</v>
      </c>
      <c r="F71">
        <v>6000000</v>
      </c>
    </row>
    <row r="72" spans="1:6" x14ac:dyDescent="0.2">
      <c r="A72" t="s">
        <v>14</v>
      </c>
      <c r="B72" t="s">
        <v>20</v>
      </c>
      <c r="C72" t="s">
        <v>8</v>
      </c>
      <c r="D72">
        <v>80000000</v>
      </c>
      <c r="E72">
        <v>230000000</v>
      </c>
    </row>
    <row r="73" spans="1:6" x14ac:dyDescent="0.2">
      <c r="A73" t="s">
        <v>15</v>
      </c>
      <c r="B73" t="s">
        <v>20</v>
      </c>
      <c r="C73" t="s">
        <v>8</v>
      </c>
      <c r="D73">
        <v>17000000</v>
      </c>
      <c r="E73">
        <v>100000000</v>
      </c>
      <c r="F73">
        <v>3000000</v>
      </c>
    </row>
    <row r="74" spans="1:6" x14ac:dyDescent="0.2">
      <c r="A74" t="s">
        <v>6</v>
      </c>
      <c r="B74" t="s">
        <v>20</v>
      </c>
      <c r="C74" t="s">
        <v>16</v>
      </c>
    </row>
    <row r="75" spans="1:6" x14ac:dyDescent="0.2">
      <c r="A75" t="s">
        <v>9</v>
      </c>
      <c r="B75" t="s">
        <v>20</v>
      </c>
      <c r="C75" t="s">
        <v>16</v>
      </c>
      <c r="D75">
        <v>0</v>
      </c>
      <c r="E75">
        <v>0</v>
      </c>
      <c r="F75">
        <v>0</v>
      </c>
    </row>
    <row r="76" spans="1:6" x14ac:dyDescent="0.2">
      <c r="A76" t="s">
        <v>10</v>
      </c>
      <c r="B76" t="s">
        <v>20</v>
      </c>
      <c r="C76" t="s">
        <v>16</v>
      </c>
      <c r="D76">
        <v>0</v>
      </c>
      <c r="E76">
        <v>0</v>
      </c>
      <c r="F76">
        <v>260000</v>
      </c>
    </row>
    <row r="77" spans="1:6" x14ac:dyDescent="0.2">
      <c r="A77" t="s">
        <v>11</v>
      </c>
      <c r="B77" t="s">
        <v>20</v>
      </c>
      <c r="C77" t="s">
        <v>16</v>
      </c>
      <c r="D77">
        <v>3000</v>
      </c>
      <c r="E77">
        <v>0</v>
      </c>
      <c r="F77">
        <v>1100000</v>
      </c>
    </row>
    <row r="78" spans="1:6" x14ac:dyDescent="0.2">
      <c r="A78" t="s">
        <v>12</v>
      </c>
      <c r="B78" t="s">
        <v>20</v>
      </c>
      <c r="C78" t="s">
        <v>16</v>
      </c>
      <c r="D78">
        <v>0</v>
      </c>
      <c r="E78">
        <v>0</v>
      </c>
      <c r="F78">
        <v>2400000</v>
      </c>
    </row>
    <row r="79" spans="1:6" x14ac:dyDescent="0.2">
      <c r="A79" t="s">
        <v>13</v>
      </c>
      <c r="B79" t="s">
        <v>20</v>
      </c>
      <c r="C79" t="s">
        <v>16</v>
      </c>
      <c r="D79">
        <v>50000</v>
      </c>
      <c r="E79">
        <v>0</v>
      </c>
      <c r="F79">
        <v>6000000</v>
      </c>
    </row>
    <row r="80" spans="1:6" x14ac:dyDescent="0.2">
      <c r="A80" t="s">
        <v>14</v>
      </c>
      <c r="B80" t="s">
        <v>20</v>
      </c>
      <c r="C80" t="s">
        <v>16</v>
      </c>
      <c r="D80">
        <v>0</v>
      </c>
      <c r="E80">
        <v>0</v>
      </c>
      <c r="F80">
        <v>900000</v>
      </c>
    </row>
    <row r="81" spans="1:6" x14ac:dyDescent="0.2">
      <c r="A81" t="s">
        <v>15</v>
      </c>
      <c r="B81" t="s">
        <v>20</v>
      </c>
      <c r="C81" t="s">
        <v>16</v>
      </c>
      <c r="D81">
        <v>0</v>
      </c>
      <c r="E81">
        <v>0</v>
      </c>
      <c r="F81">
        <v>6700000</v>
      </c>
    </row>
    <row r="82" spans="1:6" x14ac:dyDescent="0.2">
      <c r="A82" t="s">
        <v>6</v>
      </c>
      <c r="B82" t="s">
        <v>21</v>
      </c>
      <c r="C82" t="s">
        <v>8</v>
      </c>
    </row>
    <row r="83" spans="1:6" x14ac:dyDescent="0.2">
      <c r="A83" t="s">
        <v>9</v>
      </c>
      <c r="B83" t="s">
        <v>21</v>
      </c>
      <c r="C83" t="s">
        <v>8</v>
      </c>
      <c r="D83">
        <f>3/0.01</f>
        <v>300</v>
      </c>
      <c r="E83">
        <f t="shared" ref="E83" si="0">3/0.01</f>
        <v>300</v>
      </c>
      <c r="F83">
        <f>19/0.01</f>
        <v>1900</v>
      </c>
    </row>
    <row r="84" spans="1:6" x14ac:dyDescent="0.2">
      <c r="A84" t="s">
        <v>10</v>
      </c>
      <c r="B84" t="s">
        <v>21</v>
      </c>
      <c r="C84" t="s">
        <v>8</v>
      </c>
      <c r="D84">
        <v>90000000</v>
      </c>
      <c r="E84">
        <v>180000000</v>
      </c>
      <c r="F84">
        <v>1000000</v>
      </c>
    </row>
    <row r="85" spans="1:6" x14ac:dyDescent="0.2">
      <c r="A85" t="s">
        <v>11</v>
      </c>
      <c r="B85" t="s">
        <v>21</v>
      </c>
      <c r="C85" t="s">
        <v>8</v>
      </c>
      <c r="D85">
        <v>1500000</v>
      </c>
      <c r="E85">
        <v>16000000</v>
      </c>
      <c r="F85">
        <v>0</v>
      </c>
    </row>
    <row r="86" spans="1:6" x14ac:dyDescent="0.2">
      <c r="A86" t="s">
        <v>12</v>
      </c>
      <c r="B86" t="s">
        <v>21</v>
      </c>
      <c r="C86" t="s">
        <v>8</v>
      </c>
      <c r="D86">
        <v>39000000</v>
      </c>
      <c r="E86">
        <v>13000000</v>
      </c>
      <c r="F86">
        <v>1000000</v>
      </c>
    </row>
    <row r="87" spans="1:6" x14ac:dyDescent="0.2">
      <c r="A87" t="s">
        <v>13</v>
      </c>
      <c r="B87" t="s">
        <v>21</v>
      </c>
      <c r="C87" t="s">
        <v>8</v>
      </c>
      <c r="D87">
        <v>29000000</v>
      </c>
      <c r="E87">
        <v>7000000</v>
      </c>
      <c r="F87">
        <v>3000000</v>
      </c>
    </row>
    <row r="88" spans="1:6" x14ac:dyDescent="0.2">
      <c r="A88" t="s">
        <v>14</v>
      </c>
      <c r="B88" t="s">
        <v>21</v>
      </c>
      <c r="C88" t="s">
        <v>8</v>
      </c>
      <c r="D88">
        <v>20000000</v>
      </c>
      <c r="E88">
        <v>2000000</v>
      </c>
      <c r="F88">
        <v>100000</v>
      </c>
    </row>
    <row r="89" spans="1:6" x14ac:dyDescent="0.2">
      <c r="A89" t="s">
        <v>15</v>
      </c>
      <c r="B89" t="s">
        <v>21</v>
      </c>
      <c r="C89" t="s">
        <v>8</v>
      </c>
      <c r="D89">
        <v>5000000</v>
      </c>
      <c r="E89">
        <v>73000000</v>
      </c>
      <c r="F89">
        <v>1000000</v>
      </c>
    </row>
    <row r="90" spans="1:6" x14ac:dyDescent="0.2">
      <c r="A90" t="s">
        <v>6</v>
      </c>
      <c r="B90" t="s">
        <v>21</v>
      </c>
      <c r="C90" t="s">
        <v>16</v>
      </c>
    </row>
    <row r="91" spans="1:6" x14ac:dyDescent="0.2">
      <c r="A91" t="s">
        <v>9</v>
      </c>
      <c r="B91" t="s">
        <v>21</v>
      </c>
      <c r="C91" t="s">
        <v>16</v>
      </c>
      <c r="D91">
        <v>0</v>
      </c>
      <c r="E91">
        <v>0</v>
      </c>
      <c r="F91">
        <v>0</v>
      </c>
    </row>
    <row r="92" spans="1:6" x14ac:dyDescent="0.2">
      <c r="A92" t="s">
        <v>10</v>
      </c>
      <c r="B92" t="s">
        <v>21</v>
      </c>
      <c r="C92" t="s">
        <v>16</v>
      </c>
      <c r="D92">
        <v>0</v>
      </c>
      <c r="E92">
        <v>0</v>
      </c>
      <c r="F92">
        <f>10/(10^(-2)*0.01)</f>
        <v>100000</v>
      </c>
    </row>
    <row r="93" spans="1:6" x14ac:dyDescent="0.2">
      <c r="A93" t="s">
        <v>11</v>
      </c>
      <c r="B93" t="s">
        <v>21</v>
      </c>
      <c r="C93" t="s">
        <v>16</v>
      </c>
      <c r="D93">
        <v>1200000</v>
      </c>
      <c r="E93">
        <v>0</v>
      </c>
      <c r="F93">
        <v>0</v>
      </c>
    </row>
    <row r="94" spans="1:6" x14ac:dyDescent="0.2">
      <c r="A94" t="s">
        <v>12</v>
      </c>
      <c r="B94" t="s">
        <v>21</v>
      </c>
      <c r="C94" t="s">
        <v>16</v>
      </c>
      <c r="D94">
        <v>0</v>
      </c>
      <c r="E94">
        <v>0</v>
      </c>
      <c r="F94">
        <v>2500000</v>
      </c>
    </row>
    <row r="95" spans="1:6" x14ac:dyDescent="0.2">
      <c r="A95" t="s">
        <v>13</v>
      </c>
      <c r="B95" t="s">
        <v>21</v>
      </c>
      <c r="C95" t="s">
        <v>16</v>
      </c>
      <c r="D95">
        <v>27000000</v>
      </c>
      <c r="E95">
        <v>0</v>
      </c>
      <c r="F95">
        <v>3000000</v>
      </c>
    </row>
    <row r="96" spans="1:6" x14ac:dyDescent="0.2">
      <c r="A96" t="s">
        <v>14</v>
      </c>
      <c r="B96" t="s">
        <v>21</v>
      </c>
      <c r="C96" t="s">
        <v>16</v>
      </c>
      <c r="D96">
        <v>0</v>
      </c>
      <c r="E96">
        <v>0</v>
      </c>
      <c r="F96">
        <v>270000</v>
      </c>
    </row>
    <row r="97" spans="1:6" x14ac:dyDescent="0.2">
      <c r="A97" t="s">
        <v>15</v>
      </c>
      <c r="B97" t="s">
        <v>21</v>
      </c>
      <c r="C97" t="s">
        <v>16</v>
      </c>
      <c r="D97">
        <v>0</v>
      </c>
      <c r="E97">
        <v>0</v>
      </c>
      <c r="F97">
        <v>2100000</v>
      </c>
    </row>
    <row r="98" spans="1:6" x14ac:dyDescent="0.2">
      <c r="A98" t="s">
        <v>6</v>
      </c>
      <c r="B98" t="s">
        <v>22</v>
      </c>
      <c r="C98" t="s">
        <v>8</v>
      </c>
    </row>
    <row r="99" spans="1:6" x14ac:dyDescent="0.2">
      <c r="A99" t="s">
        <v>9</v>
      </c>
      <c r="B99" t="s">
        <v>22</v>
      </c>
      <c r="C99" t="s">
        <v>8</v>
      </c>
      <c r="D99">
        <f>1/0.01</f>
        <v>100</v>
      </c>
      <c r="E99">
        <f>5/0.01</f>
        <v>500</v>
      </c>
      <c r="F99">
        <f>14/0.01</f>
        <v>1400</v>
      </c>
    </row>
    <row r="100" spans="1:6" x14ac:dyDescent="0.2">
      <c r="A100" t="s">
        <v>10</v>
      </c>
      <c r="B100" t="s">
        <v>22</v>
      </c>
      <c r="C100" t="s">
        <v>8</v>
      </c>
      <c r="D100">
        <f>5/(10^(-5)*0.01)</f>
        <v>49999999.999999993</v>
      </c>
      <c r="E100">
        <f>10/(10^(-5)*0.01)</f>
        <v>99999999.999999985</v>
      </c>
      <c r="F100">
        <f>1/(10^(-4)*0.01)</f>
        <v>999999.99999999988</v>
      </c>
    </row>
    <row r="101" spans="1:6" x14ac:dyDescent="0.2">
      <c r="A101" t="s">
        <v>11</v>
      </c>
      <c r="B101" t="s">
        <v>22</v>
      </c>
      <c r="C101" t="s">
        <v>8</v>
      </c>
      <c r="D101">
        <f>24/(10^(-3)*0.01)</f>
        <v>2400000</v>
      </c>
      <c r="E101">
        <f>20/(10^(-4)*0.01)</f>
        <v>19999999.999999996</v>
      </c>
      <c r="F101">
        <v>0</v>
      </c>
    </row>
    <row r="102" spans="1:6" x14ac:dyDescent="0.2">
      <c r="A102" t="s">
        <v>12</v>
      </c>
      <c r="B102" t="s">
        <v>22</v>
      </c>
      <c r="C102" t="s">
        <v>8</v>
      </c>
      <c r="D102">
        <f>22/(10^(-4)*0.01)</f>
        <v>21999999.999999996</v>
      </c>
      <c r="E102">
        <f>5/(10^(-4)*0.01)</f>
        <v>4999999.9999999991</v>
      </c>
      <c r="F102">
        <f>1/(10^(-4)*0.01)</f>
        <v>999999.99999999988</v>
      </c>
    </row>
    <row r="103" spans="1:6" x14ac:dyDescent="0.2">
      <c r="A103" t="s">
        <v>13</v>
      </c>
      <c r="B103" t="s">
        <v>22</v>
      </c>
      <c r="C103" t="s">
        <v>8</v>
      </c>
      <c r="D103">
        <f>10/(10^(-5)*0.01)</f>
        <v>99999999.999999985</v>
      </c>
      <c r="E103">
        <f>3/(10^(-5)*0.01)</f>
        <v>29999999.999999996</v>
      </c>
      <c r="F103">
        <v>0</v>
      </c>
    </row>
    <row r="104" spans="1:6" x14ac:dyDescent="0.2">
      <c r="A104" t="s">
        <v>14</v>
      </c>
      <c r="B104" t="s">
        <v>22</v>
      </c>
      <c r="C104" t="s">
        <v>8</v>
      </c>
      <c r="D104">
        <f>11/(10^(-5)*0.01)</f>
        <v>109999999.99999999</v>
      </c>
      <c r="E104">
        <f>11/(10^(-4)*0.01)</f>
        <v>10999999.999999998</v>
      </c>
      <c r="F104">
        <f>1/(10^(-4)*0.01)</f>
        <v>999999.99999999988</v>
      </c>
    </row>
    <row r="105" spans="1:6" x14ac:dyDescent="0.2">
      <c r="A105" t="s">
        <v>15</v>
      </c>
      <c r="B105" t="s">
        <v>22</v>
      </c>
      <c r="C105" t="s">
        <v>8</v>
      </c>
      <c r="D105">
        <f>34/(10^(-3)*0.01)</f>
        <v>3399999.9999999995</v>
      </c>
      <c r="E105">
        <f>3/(10^(-2)*0.01)</f>
        <v>30000</v>
      </c>
      <c r="F105">
        <f>1/(10^(-3)*0.01)</f>
        <v>99999.999999999985</v>
      </c>
    </row>
    <row r="106" spans="1:6" x14ac:dyDescent="0.2">
      <c r="A106" t="s">
        <v>6</v>
      </c>
      <c r="B106" t="s">
        <v>22</v>
      </c>
      <c r="C106" t="s">
        <v>16</v>
      </c>
      <c r="D106">
        <v>0</v>
      </c>
      <c r="E106">
        <v>0</v>
      </c>
      <c r="F106">
        <v>0</v>
      </c>
    </row>
    <row r="107" spans="1:6" x14ac:dyDescent="0.2">
      <c r="A107" t="s">
        <v>9</v>
      </c>
      <c r="B107" t="s">
        <v>22</v>
      </c>
      <c r="C107" t="s">
        <v>16</v>
      </c>
      <c r="D107">
        <v>0</v>
      </c>
      <c r="E107">
        <v>0</v>
      </c>
      <c r="F107">
        <v>0</v>
      </c>
    </row>
    <row r="108" spans="1:6" x14ac:dyDescent="0.2">
      <c r="A108" t="s">
        <v>10</v>
      </c>
      <c r="B108" t="s">
        <v>22</v>
      </c>
      <c r="C108" t="s">
        <v>16</v>
      </c>
      <c r="D108">
        <v>0</v>
      </c>
      <c r="E108">
        <v>0</v>
      </c>
      <c r="F108">
        <f>11/0.01</f>
        <v>1100</v>
      </c>
    </row>
    <row r="109" spans="1:6" x14ac:dyDescent="0.2">
      <c r="A109" t="s">
        <v>11</v>
      </c>
      <c r="B109" t="s">
        <v>22</v>
      </c>
      <c r="C109" t="s">
        <v>16</v>
      </c>
      <c r="D109">
        <f>34/(10^(-3)*0.01)</f>
        <v>3399999.9999999995</v>
      </c>
      <c r="E109">
        <v>0</v>
      </c>
      <c r="F109">
        <f>1/(10^(-3)*0.01)</f>
        <v>99999.999999999985</v>
      </c>
    </row>
    <row r="110" spans="1:6" x14ac:dyDescent="0.2">
      <c r="A110" t="s">
        <v>12</v>
      </c>
      <c r="B110" t="s">
        <v>22</v>
      </c>
      <c r="C110" t="s">
        <v>16</v>
      </c>
      <c r="D110">
        <v>0</v>
      </c>
      <c r="E110">
        <v>0</v>
      </c>
      <c r="F110">
        <f>36/(10^(-2)*0.01)</f>
        <v>360000</v>
      </c>
    </row>
    <row r="111" spans="1:6" x14ac:dyDescent="0.2">
      <c r="A111" t="s">
        <v>13</v>
      </c>
      <c r="B111" t="s">
        <v>22</v>
      </c>
      <c r="C111" t="s">
        <v>16</v>
      </c>
      <c r="D111">
        <f>73/(10^(-4)*0.01)</f>
        <v>72999999.999999985</v>
      </c>
      <c r="E111">
        <v>0</v>
      </c>
      <c r="F111">
        <v>0</v>
      </c>
    </row>
    <row r="112" spans="1:6" x14ac:dyDescent="0.2">
      <c r="A112" t="s">
        <v>14</v>
      </c>
      <c r="B112" t="s">
        <v>22</v>
      </c>
      <c r="C112" t="s">
        <v>16</v>
      </c>
      <c r="D112">
        <v>0</v>
      </c>
      <c r="E112">
        <v>0</v>
      </c>
      <c r="F112">
        <f>5/(10^(-2)*0.01)</f>
        <v>50000</v>
      </c>
    </row>
    <row r="113" spans="1:6" x14ac:dyDescent="0.2">
      <c r="A113" t="s">
        <v>15</v>
      </c>
      <c r="B113" t="s">
        <v>22</v>
      </c>
      <c r="C113" t="s">
        <v>16</v>
      </c>
      <c r="D113">
        <v>0</v>
      </c>
      <c r="E113">
        <v>0</v>
      </c>
      <c r="F113">
        <f>10/(10^(-3)*0.01)</f>
        <v>999999.99999999988</v>
      </c>
    </row>
    <row r="114" spans="1:6" x14ac:dyDescent="0.2">
      <c r="A114" t="s">
        <v>6</v>
      </c>
      <c r="B114" t="s">
        <v>23</v>
      </c>
      <c r="C114" t="s">
        <v>8</v>
      </c>
    </row>
    <row r="115" spans="1:6" x14ac:dyDescent="0.2">
      <c r="A115" t="s">
        <v>9</v>
      </c>
      <c r="B115" t="s">
        <v>23</v>
      </c>
      <c r="C115" t="s">
        <v>8</v>
      </c>
      <c r="D115">
        <f>1/0.01</f>
        <v>100</v>
      </c>
      <c r="E115">
        <f>46/0.01</f>
        <v>4600</v>
      </c>
      <c r="F115">
        <f>12/0.01</f>
        <v>1200</v>
      </c>
    </row>
    <row r="116" spans="1:6" x14ac:dyDescent="0.2">
      <c r="A116" t="s">
        <v>10</v>
      </c>
      <c r="B116" t="s">
        <v>23</v>
      </c>
      <c r="C116" t="s">
        <v>8</v>
      </c>
      <c r="D116">
        <f>27/(10^(-4)*0.01)</f>
        <v>26999999.999999996</v>
      </c>
      <c r="E116">
        <f>5/(10^(-5)*0.01)</f>
        <v>49999999.999999993</v>
      </c>
      <c r="F116">
        <v>0</v>
      </c>
    </row>
    <row r="117" spans="1:6" x14ac:dyDescent="0.2">
      <c r="A117" t="s">
        <v>11</v>
      </c>
      <c r="B117" t="s">
        <v>23</v>
      </c>
      <c r="C117" t="s">
        <v>8</v>
      </c>
      <c r="D117">
        <f>27/(10^(-3)*0.01)</f>
        <v>2700000</v>
      </c>
      <c r="E117">
        <f>7/(10^(-4)*0.01)</f>
        <v>6999999.9999999991</v>
      </c>
      <c r="F117">
        <v>0</v>
      </c>
    </row>
    <row r="118" spans="1:6" x14ac:dyDescent="0.2">
      <c r="A118" t="s">
        <v>12</v>
      </c>
      <c r="B118" t="s">
        <v>23</v>
      </c>
      <c r="C118" t="s">
        <v>8</v>
      </c>
      <c r="D118">
        <f>8/(10^(-4)*0.01)</f>
        <v>7999999.9999999991</v>
      </c>
      <c r="E118">
        <f>23/(10^(-4)*0.01)</f>
        <v>22999999.999999996</v>
      </c>
      <c r="F118">
        <v>0</v>
      </c>
    </row>
    <row r="119" spans="1:6" x14ac:dyDescent="0.2">
      <c r="A119" t="s">
        <v>13</v>
      </c>
      <c r="B119" t="s">
        <v>23</v>
      </c>
      <c r="C119" t="s">
        <v>8</v>
      </c>
      <c r="D119">
        <f>20/(10^(-4)*0.01)</f>
        <v>19999999.999999996</v>
      </c>
      <c r="E119">
        <f>6/(10^(-2)*0.01)</f>
        <v>60000</v>
      </c>
      <c r="F119">
        <v>0</v>
      </c>
    </row>
    <row r="120" spans="1:6" x14ac:dyDescent="0.2">
      <c r="A120" t="s">
        <v>14</v>
      </c>
      <c r="B120" t="s">
        <v>23</v>
      </c>
      <c r="C120" t="s">
        <v>8</v>
      </c>
      <c r="D120">
        <f>38/(10^(-3)*0.01)</f>
        <v>3799999.9999999995</v>
      </c>
      <c r="E120">
        <f>6/(10^(-3)*0.01)</f>
        <v>600000</v>
      </c>
      <c r="F120">
        <f>1/(10^(-3)*0.01)</f>
        <v>99999.999999999985</v>
      </c>
    </row>
    <row r="121" spans="1:6" x14ac:dyDescent="0.2">
      <c r="A121" t="s">
        <v>15</v>
      </c>
      <c r="B121" t="s">
        <v>23</v>
      </c>
      <c r="C121" t="s">
        <v>8</v>
      </c>
      <c r="D121">
        <f>13/(10^(-4)*0.01)</f>
        <v>12999999.999999998</v>
      </c>
      <c r="E121">
        <f>43/(10^(-4)*0.01)</f>
        <v>42999999.999999993</v>
      </c>
      <c r="F121">
        <v>0</v>
      </c>
    </row>
    <row r="122" spans="1:6" x14ac:dyDescent="0.2">
      <c r="A122" t="s">
        <v>6</v>
      </c>
      <c r="B122" t="s">
        <v>23</v>
      </c>
      <c r="C122" t="s">
        <v>16</v>
      </c>
    </row>
    <row r="123" spans="1:6" x14ac:dyDescent="0.2">
      <c r="A123" t="s">
        <v>9</v>
      </c>
      <c r="B123" t="s">
        <v>23</v>
      </c>
      <c r="C123" t="s">
        <v>16</v>
      </c>
      <c r="D123">
        <v>0</v>
      </c>
      <c r="E123">
        <v>0</v>
      </c>
      <c r="F123">
        <v>0</v>
      </c>
    </row>
    <row r="124" spans="1:6" x14ac:dyDescent="0.2">
      <c r="A124" t="s">
        <v>10</v>
      </c>
      <c r="B124" t="s">
        <v>23</v>
      </c>
      <c r="C124" t="s">
        <v>16</v>
      </c>
      <c r="D124">
        <v>0</v>
      </c>
      <c r="E124">
        <v>0</v>
      </c>
      <c r="F124">
        <f>6/0.01</f>
        <v>600</v>
      </c>
    </row>
    <row r="125" spans="1:6" x14ac:dyDescent="0.2">
      <c r="A125" t="s">
        <v>11</v>
      </c>
      <c r="B125" t="s">
        <v>23</v>
      </c>
      <c r="C125" t="s">
        <v>16</v>
      </c>
      <c r="D125">
        <f>36/(10^(-3)*0.01)</f>
        <v>3599999.9999999995</v>
      </c>
      <c r="E125">
        <v>0</v>
      </c>
      <c r="F125">
        <f>2/(10^(-2)*0.01)</f>
        <v>20000</v>
      </c>
    </row>
    <row r="126" spans="1:6" x14ac:dyDescent="0.2">
      <c r="A126" t="s">
        <v>12</v>
      </c>
      <c r="B126" t="s">
        <v>23</v>
      </c>
      <c r="C126" t="s">
        <v>16</v>
      </c>
      <c r="D126">
        <v>0</v>
      </c>
      <c r="E126">
        <v>0</v>
      </c>
      <c r="F126">
        <f>7/(10^(-2)*0.01)</f>
        <v>70000</v>
      </c>
    </row>
    <row r="127" spans="1:6" x14ac:dyDescent="0.2">
      <c r="A127" t="s">
        <v>13</v>
      </c>
      <c r="B127" t="s">
        <v>23</v>
      </c>
      <c r="C127" t="s">
        <v>16</v>
      </c>
      <c r="D127">
        <f>14/(10^(-4)*0.01)</f>
        <v>13999999.999999998</v>
      </c>
      <c r="E127">
        <v>0</v>
      </c>
      <c r="F127">
        <v>0</v>
      </c>
    </row>
    <row r="128" spans="1:6" x14ac:dyDescent="0.2">
      <c r="A128" t="s">
        <v>14</v>
      </c>
      <c r="B128" t="s">
        <v>23</v>
      </c>
      <c r="C128" t="s">
        <v>16</v>
      </c>
      <c r="D128">
        <v>0</v>
      </c>
      <c r="E128">
        <v>0</v>
      </c>
      <c r="F128">
        <f>17/0.01</f>
        <v>1700</v>
      </c>
    </row>
    <row r="129" spans="1:6" x14ac:dyDescent="0.2">
      <c r="A129" t="s">
        <v>15</v>
      </c>
      <c r="B129" t="s">
        <v>23</v>
      </c>
      <c r="C129" t="s">
        <v>16</v>
      </c>
      <c r="D129">
        <v>0</v>
      </c>
      <c r="E129">
        <v>0</v>
      </c>
      <c r="F129">
        <f>6/(10^(-3)*0.01)</f>
        <v>600000</v>
      </c>
    </row>
    <row r="130" spans="1:6" x14ac:dyDescent="0.2">
      <c r="A130" t="s">
        <v>6</v>
      </c>
      <c r="B130" t="s">
        <v>24</v>
      </c>
      <c r="C130" t="s">
        <v>8</v>
      </c>
    </row>
    <row r="131" spans="1:6" x14ac:dyDescent="0.2">
      <c r="A131" t="s">
        <v>9</v>
      </c>
      <c r="B131" t="s">
        <v>24</v>
      </c>
      <c r="C131" t="s">
        <v>8</v>
      </c>
      <c r="D131">
        <v>0</v>
      </c>
      <c r="E131">
        <f>7/0.01</f>
        <v>700</v>
      </c>
      <c r="F131">
        <f>1/0.01</f>
        <v>100</v>
      </c>
    </row>
    <row r="132" spans="1:6" x14ac:dyDescent="0.2">
      <c r="A132" t="s">
        <v>10</v>
      </c>
      <c r="B132" t="s">
        <v>24</v>
      </c>
      <c r="C132" t="s">
        <v>8</v>
      </c>
      <c r="D132">
        <f>20/(10^(-4)*0.01)</f>
        <v>19999999.999999996</v>
      </c>
      <c r="E132">
        <f>13/(10^(-3)*0.01)</f>
        <v>1300000</v>
      </c>
      <c r="F132">
        <v>0</v>
      </c>
    </row>
    <row r="133" spans="1:6" x14ac:dyDescent="0.2">
      <c r="A133" t="s">
        <v>11</v>
      </c>
      <c r="B133" t="s">
        <v>24</v>
      </c>
      <c r="C133" t="s">
        <v>8</v>
      </c>
      <c r="D133">
        <f>9/(10^(-3)*0.01)</f>
        <v>899999.99999999988</v>
      </c>
      <c r="E133">
        <f>12/(10^(-4)*0.01)</f>
        <v>11999999.999999998</v>
      </c>
      <c r="F133">
        <f>2/(10^(-3)*0.01)</f>
        <v>199999.99999999997</v>
      </c>
    </row>
    <row r="134" spans="1:6" x14ac:dyDescent="0.2">
      <c r="A134" t="s">
        <v>12</v>
      </c>
      <c r="B134" t="s">
        <v>24</v>
      </c>
      <c r="C134" t="s">
        <v>8</v>
      </c>
      <c r="D134">
        <f>12/(10^(-4)*0.01)</f>
        <v>11999999.999999998</v>
      </c>
      <c r="E134">
        <f>22/(10^(-3)*0.01)</f>
        <v>2200000</v>
      </c>
      <c r="F134">
        <v>0</v>
      </c>
    </row>
    <row r="135" spans="1:6" x14ac:dyDescent="0.2">
      <c r="A135" t="s">
        <v>13</v>
      </c>
      <c r="B135" t="s">
        <v>24</v>
      </c>
      <c r="C135" t="s">
        <v>8</v>
      </c>
      <c r="D135">
        <f>5/(10^(-4)*0.01)</f>
        <v>4999999.9999999991</v>
      </c>
      <c r="E135">
        <f>13/(10^(-3)*0.01)</f>
        <v>1300000</v>
      </c>
      <c r="F135">
        <v>0</v>
      </c>
    </row>
    <row r="136" spans="1:6" x14ac:dyDescent="0.2">
      <c r="A136" t="s">
        <v>14</v>
      </c>
      <c r="B136" t="s">
        <v>24</v>
      </c>
      <c r="C136" t="s">
        <v>8</v>
      </c>
      <c r="D136">
        <f>9/(10^(-3)*0.01)</f>
        <v>899999.99999999988</v>
      </c>
      <c r="E136">
        <f>4/(10^(-3)*0.01)</f>
        <v>399999.99999999994</v>
      </c>
      <c r="F136">
        <v>0</v>
      </c>
    </row>
    <row r="137" spans="1:6" x14ac:dyDescent="0.2">
      <c r="A137" t="s">
        <v>15</v>
      </c>
      <c r="B137" t="s">
        <v>24</v>
      </c>
      <c r="C137" t="s">
        <v>8</v>
      </c>
      <c r="D137">
        <f>6/(10^(-4)*0.01)</f>
        <v>5999999.9999999991</v>
      </c>
      <c r="E137">
        <f>7/(10^(-4)*0.01)</f>
        <v>6999999.9999999991</v>
      </c>
      <c r="F137">
        <f>1/(10^(-4)*0.01)</f>
        <v>999999.99999999988</v>
      </c>
    </row>
    <row r="138" spans="1:6" x14ac:dyDescent="0.2">
      <c r="A138" t="s">
        <v>6</v>
      </c>
      <c r="B138" t="s">
        <v>24</v>
      </c>
      <c r="C138" t="s">
        <v>16</v>
      </c>
    </row>
    <row r="139" spans="1:6" x14ac:dyDescent="0.2">
      <c r="A139" t="s">
        <v>9</v>
      </c>
      <c r="B139" t="s">
        <v>24</v>
      </c>
      <c r="C139" t="s">
        <v>16</v>
      </c>
      <c r="D139">
        <v>0</v>
      </c>
      <c r="E139">
        <v>0</v>
      </c>
      <c r="F139">
        <v>0</v>
      </c>
    </row>
    <row r="140" spans="1:6" x14ac:dyDescent="0.2">
      <c r="A140" t="s">
        <v>10</v>
      </c>
      <c r="B140" t="s">
        <v>24</v>
      </c>
      <c r="C140" t="s">
        <v>16</v>
      </c>
      <c r="D140">
        <v>0</v>
      </c>
      <c r="E140">
        <v>0</v>
      </c>
      <c r="F140">
        <v>5</v>
      </c>
    </row>
    <row r="141" spans="1:6" x14ac:dyDescent="0.2">
      <c r="A141" t="s">
        <v>11</v>
      </c>
      <c r="B141" t="s">
        <v>24</v>
      </c>
      <c r="C141" t="s">
        <v>16</v>
      </c>
      <c r="D141">
        <f>7/(10^(-3)*0.01)</f>
        <v>700000</v>
      </c>
      <c r="E141">
        <v>0</v>
      </c>
      <c r="F141">
        <v>0</v>
      </c>
    </row>
    <row r="142" spans="1:6" x14ac:dyDescent="0.2">
      <c r="A142" t="s">
        <v>12</v>
      </c>
      <c r="B142" t="s">
        <v>24</v>
      </c>
      <c r="C142" t="s">
        <v>16</v>
      </c>
      <c r="D142">
        <v>0</v>
      </c>
      <c r="E142">
        <v>0</v>
      </c>
      <c r="F142">
        <f>14/(10^(-1)*0.01)</f>
        <v>14000</v>
      </c>
    </row>
    <row r="143" spans="1:6" x14ac:dyDescent="0.2">
      <c r="A143" t="s">
        <v>13</v>
      </c>
      <c r="B143" t="s">
        <v>24</v>
      </c>
      <c r="C143" t="s">
        <v>16</v>
      </c>
      <c r="D143">
        <f>70/(10^(-3)*0.01)</f>
        <v>6999999.9999999991</v>
      </c>
      <c r="E143">
        <f>3/(10^(-1)*0.01)</f>
        <v>3000</v>
      </c>
      <c r="F143">
        <v>0</v>
      </c>
    </row>
    <row r="144" spans="1:6" x14ac:dyDescent="0.2">
      <c r="A144" t="s">
        <v>14</v>
      </c>
      <c r="B144" t="s">
        <v>24</v>
      </c>
      <c r="C144" t="s">
        <v>16</v>
      </c>
      <c r="D144">
        <v>0</v>
      </c>
      <c r="E144">
        <v>0</v>
      </c>
      <c r="F144">
        <f>36/0.01</f>
        <v>3600</v>
      </c>
    </row>
    <row r="145" spans="1:6" x14ac:dyDescent="0.2">
      <c r="A145" t="s">
        <v>15</v>
      </c>
      <c r="B145" t="s">
        <v>24</v>
      </c>
      <c r="C145" t="s">
        <v>16</v>
      </c>
      <c r="D145">
        <v>0</v>
      </c>
      <c r="E145">
        <v>0</v>
      </c>
      <c r="F145">
        <f>12/(10^(-2)*0.01)</f>
        <v>120000</v>
      </c>
    </row>
    <row r="146" spans="1:6" x14ac:dyDescent="0.2">
      <c r="A146" t="s">
        <v>6</v>
      </c>
      <c r="B146" t="s">
        <v>25</v>
      </c>
      <c r="C146" t="s">
        <v>8</v>
      </c>
    </row>
    <row r="147" spans="1:6" x14ac:dyDescent="0.2">
      <c r="A147" t="s">
        <v>9</v>
      </c>
      <c r="B147" t="s">
        <v>25</v>
      </c>
      <c r="C147" t="s">
        <v>8</v>
      </c>
      <c r="D147">
        <v>0</v>
      </c>
      <c r="E147">
        <f>2/0.01</f>
        <v>200</v>
      </c>
      <c r="F147">
        <f>1/0.01</f>
        <v>100</v>
      </c>
    </row>
    <row r="148" spans="1:6" x14ac:dyDescent="0.2">
      <c r="A148" t="s">
        <v>10</v>
      </c>
      <c r="B148" t="s">
        <v>25</v>
      </c>
      <c r="C148" t="s">
        <v>8</v>
      </c>
      <c r="D148">
        <f>24/(10^(-4)*0.01)</f>
        <v>23999999.999999996</v>
      </c>
      <c r="E148">
        <f>8/(10^(-4)*0.01)</f>
        <v>7999999.9999999991</v>
      </c>
      <c r="F148">
        <f>1/(10^(-4)*0.01)</f>
        <v>999999.99999999988</v>
      </c>
    </row>
    <row r="149" spans="1:6" x14ac:dyDescent="0.2">
      <c r="A149" t="s">
        <v>11</v>
      </c>
      <c r="B149" t="s">
        <v>25</v>
      </c>
      <c r="C149" t="s">
        <v>8</v>
      </c>
      <c r="D149">
        <f>11/(10^(-3)*0.01)</f>
        <v>1100000</v>
      </c>
      <c r="E149">
        <f>30/(10^(-3)*0.01)</f>
        <v>2999999.9999999995</v>
      </c>
      <c r="F149">
        <f>1/(10^(-2)*0.01)</f>
        <v>10000</v>
      </c>
    </row>
    <row r="150" spans="1:6" x14ac:dyDescent="0.2">
      <c r="A150" t="s">
        <v>12</v>
      </c>
      <c r="B150" t="s">
        <v>25</v>
      </c>
      <c r="C150" t="s">
        <v>8</v>
      </c>
      <c r="D150">
        <f>25/(10^(-4)*0.01)</f>
        <v>24999999.999999996</v>
      </c>
      <c r="E150">
        <f>23/(10^(-4)*0.01)</f>
        <v>22999999.999999996</v>
      </c>
      <c r="F150">
        <v>0</v>
      </c>
    </row>
    <row r="151" spans="1:6" x14ac:dyDescent="0.2">
      <c r="A151" t="s">
        <v>13</v>
      </c>
      <c r="B151" t="s">
        <v>25</v>
      </c>
      <c r="C151" t="s">
        <v>8</v>
      </c>
      <c r="D151">
        <f>53/(10^(-4)*0.01)</f>
        <v>52999999.999999993</v>
      </c>
      <c r="E151">
        <f>30/(10^(-4)*0.01)</f>
        <v>29999999.999999996</v>
      </c>
      <c r="F151">
        <v>0</v>
      </c>
    </row>
    <row r="152" spans="1:6" x14ac:dyDescent="0.2">
      <c r="A152" t="s">
        <v>14</v>
      </c>
      <c r="B152" t="s">
        <v>25</v>
      </c>
      <c r="C152" t="s">
        <v>8</v>
      </c>
      <c r="D152">
        <f>6/(10^(-4)*0.01)</f>
        <v>5999999.9999999991</v>
      </c>
      <c r="E152">
        <f>7/(10^(-4)*0.01)</f>
        <v>6999999.9999999991</v>
      </c>
      <c r="F152">
        <v>0</v>
      </c>
    </row>
    <row r="153" spans="1:6" x14ac:dyDescent="0.2">
      <c r="A153" t="s">
        <v>15</v>
      </c>
      <c r="B153" t="s">
        <v>25</v>
      </c>
      <c r="C153" t="s">
        <v>8</v>
      </c>
      <c r="D153">
        <f>8/(10^(-3)*0.01)</f>
        <v>799999.99999999988</v>
      </c>
      <c r="E153">
        <f>2/(10^(-2)*0.01)</f>
        <v>20000</v>
      </c>
      <c r="F153">
        <f>4/(10^(-3)*0.01)</f>
        <v>399999.99999999994</v>
      </c>
    </row>
    <row r="154" spans="1:6" x14ac:dyDescent="0.2">
      <c r="A154" t="s">
        <v>6</v>
      </c>
      <c r="B154" t="s">
        <v>25</v>
      </c>
      <c r="C154" t="s">
        <v>16</v>
      </c>
    </row>
    <row r="155" spans="1:6" x14ac:dyDescent="0.2">
      <c r="A155" t="s">
        <v>9</v>
      </c>
      <c r="B155" t="s">
        <v>25</v>
      </c>
      <c r="C155" t="s">
        <v>16</v>
      </c>
      <c r="D155">
        <v>0</v>
      </c>
      <c r="E155">
        <v>0</v>
      </c>
      <c r="F155">
        <v>0</v>
      </c>
    </row>
    <row r="156" spans="1:6" x14ac:dyDescent="0.2">
      <c r="A156" t="s">
        <v>10</v>
      </c>
      <c r="B156" t="s">
        <v>25</v>
      </c>
      <c r="C156" t="s">
        <v>16</v>
      </c>
      <c r="D156">
        <v>0</v>
      </c>
      <c r="E156">
        <v>0</v>
      </c>
      <c r="F156">
        <f>13/0.01</f>
        <v>1300</v>
      </c>
    </row>
    <row r="157" spans="1:6" x14ac:dyDescent="0.2">
      <c r="A157" t="s">
        <v>11</v>
      </c>
      <c r="B157" t="s">
        <v>25</v>
      </c>
      <c r="C157" t="s">
        <v>16</v>
      </c>
      <c r="D157">
        <f>9/(10^(-3)*0.01)</f>
        <v>899999.99999999988</v>
      </c>
      <c r="E157">
        <v>0</v>
      </c>
      <c r="F157">
        <v>0</v>
      </c>
    </row>
    <row r="158" spans="1:6" x14ac:dyDescent="0.2">
      <c r="A158" t="s">
        <v>12</v>
      </c>
      <c r="B158" t="s">
        <v>25</v>
      </c>
      <c r="C158" t="s">
        <v>16</v>
      </c>
      <c r="D158">
        <v>0</v>
      </c>
      <c r="E158">
        <v>0</v>
      </c>
      <c r="F158">
        <f>33/0.01</f>
        <v>3300</v>
      </c>
    </row>
    <row r="159" spans="1:6" x14ac:dyDescent="0.2">
      <c r="A159" t="s">
        <v>13</v>
      </c>
      <c r="B159" t="s">
        <v>25</v>
      </c>
      <c r="C159" t="s">
        <v>16</v>
      </c>
      <c r="D159">
        <f>47/(10^(-4)*0.01)</f>
        <v>46999999.999999993</v>
      </c>
      <c r="E159">
        <v>0</v>
      </c>
      <c r="F159">
        <v>0</v>
      </c>
    </row>
    <row r="160" spans="1:6" x14ac:dyDescent="0.2">
      <c r="A160" t="s">
        <v>14</v>
      </c>
      <c r="B160" t="s">
        <v>25</v>
      </c>
      <c r="C160" t="s">
        <v>16</v>
      </c>
      <c r="D160">
        <v>0</v>
      </c>
      <c r="E160">
        <v>0</v>
      </c>
      <c r="F160">
        <f>20/0.01</f>
        <v>2000</v>
      </c>
    </row>
    <row r="161" spans="1:6" x14ac:dyDescent="0.2">
      <c r="A161" t="s">
        <v>15</v>
      </c>
      <c r="B161" t="s">
        <v>25</v>
      </c>
      <c r="C161" t="s">
        <v>16</v>
      </c>
      <c r="D161">
        <v>0</v>
      </c>
      <c r="E161">
        <v>0</v>
      </c>
      <c r="F161">
        <f>28/(0.01*10^(-1))</f>
        <v>28000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 Hien Vu</dc:creator>
  <cp:lastModifiedBy>Thu Hien Vu</cp:lastModifiedBy>
  <dcterms:created xsi:type="dcterms:W3CDTF">2025-11-12T09:31:05Z</dcterms:created>
  <dcterms:modified xsi:type="dcterms:W3CDTF">2026-04-14T08:09:08Z</dcterms:modified>
</cp:coreProperties>
</file>