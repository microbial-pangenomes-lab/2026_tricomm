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ysb\user\vuhien\AG Galardini\Hien\Scanner\20251114\"/>
    </mc:Choice>
  </mc:AlternateContent>
  <xr:revisionPtr revIDLastSave="0" documentId="13_ncr:1_{7726F922-245A-4ABD-8131-38F22FDB1489}" xr6:coauthVersionLast="47" xr6:coauthVersionMax="47" xr10:uidLastSave="{00000000-0000-0000-0000-000000000000}"/>
  <bookViews>
    <workbookView xWindow="780" yWindow="780" windowWidth="21600" windowHeight="11295" xr2:uid="{85B46222-338C-4C6C-8887-0E8E549AE2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17" i="1" l="1"/>
  <c r="E217" i="1"/>
  <c r="D217" i="1"/>
  <c r="E216" i="1"/>
  <c r="E223" i="1"/>
  <c r="D223" i="1"/>
  <c r="F222" i="1"/>
  <c r="E222" i="1"/>
  <c r="D222" i="1"/>
  <c r="E215" i="1"/>
  <c r="D215" i="1"/>
  <c r="E214" i="1"/>
  <c r="D214" i="1"/>
  <c r="E221" i="1"/>
  <c r="D221" i="1"/>
  <c r="E213" i="1"/>
  <c r="D213" i="1"/>
  <c r="E212" i="1"/>
  <c r="D212" i="1"/>
  <c r="F211" i="1"/>
  <c r="E211" i="1"/>
  <c r="E210" i="1"/>
  <c r="D210" i="1"/>
  <c r="F209" i="1"/>
  <c r="F208" i="1"/>
  <c r="E201" i="1"/>
  <c r="F201" i="1"/>
  <c r="D201" i="1"/>
  <c r="E200" i="1"/>
  <c r="D200" i="1"/>
  <c r="E207" i="1"/>
  <c r="D207" i="1"/>
  <c r="F206" i="1"/>
  <c r="D206" i="1"/>
  <c r="E199" i="1"/>
  <c r="D199" i="1"/>
  <c r="F198" i="1"/>
  <c r="E198" i="1"/>
  <c r="D198" i="1"/>
  <c r="E205" i="1"/>
  <c r="D205" i="1"/>
  <c r="F204" i="1"/>
  <c r="E204" i="1"/>
  <c r="D204" i="1"/>
  <c r="E197" i="1"/>
  <c r="D197" i="1"/>
  <c r="E196" i="1"/>
  <c r="D196" i="1"/>
  <c r="F195" i="1"/>
  <c r="E195" i="1"/>
  <c r="E194" i="1"/>
  <c r="D194" i="1"/>
  <c r="F193" i="1"/>
  <c r="F185" i="1"/>
  <c r="E185" i="1"/>
  <c r="D185" i="1"/>
  <c r="F184" i="1"/>
  <c r="E184" i="1"/>
  <c r="D184" i="1"/>
  <c r="D191" i="1"/>
  <c r="F190" i="1"/>
  <c r="D190" i="1"/>
  <c r="E183" i="1"/>
  <c r="D183" i="1"/>
  <c r="E182" i="1"/>
  <c r="D182" i="1"/>
  <c r="E189" i="1"/>
  <c r="D189" i="1"/>
  <c r="F188" i="1"/>
  <c r="E188" i="1"/>
  <c r="D181" i="1"/>
  <c r="E180" i="1"/>
  <c r="D180" i="1"/>
  <c r="E179" i="1"/>
  <c r="E178" i="1"/>
  <c r="D178" i="1"/>
  <c r="E181" i="1"/>
  <c r="F169" i="1"/>
  <c r="E169" i="1"/>
  <c r="D169" i="1"/>
  <c r="E168" i="1"/>
  <c r="D168" i="1"/>
  <c r="F177" i="1"/>
  <c r="F176" i="1"/>
  <c r="D175" i="1"/>
  <c r="F174" i="1"/>
  <c r="D174" i="1"/>
  <c r="E167" i="1"/>
  <c r="D167" i="1"/>
  <c r="E166" i="1"/>
  <c r="D166" i="1"/>
  <c r="D173" i="1"/>
  <c r="F172" i="1"/>
  <c r="E165" i="1"/>
  <c r="D165" i="1"/>
  <c r="E164" i="1"/>
  <c r="D164" i="1"/>
  <c r="F163" i="1"/>
  <c r="E163" i="1"/>
  <c r="E162" i="1"/>
  <c r="D162" i="1"/>
  <c r="F161" i="1"/>
  <c r="F160" i="1"/>
  <c r="E153" i="1"/>
  <c r="D153" i="1"/>
  <c r="E152" i="1"/>
  <c r="D152" i="1"/>
  <c r="D159" i="1"/>
  <c r="F158" i="1"/>
  <c r="E158" i="1"/>
  <c r="D158" i="1"/>
  <c r="E151" i="1"/>
  <c r="D151" i="1"/>
  <c r="D150" i="1"/>
  <c r="D157" i="1"/>
  <c r="F156" i="1"/>
  <c r="E149" i="1"/>
  <c r="D149" i="1"/>
  <c r="E148" i="1"/>
  <c r="D148" i="1"/>
  <c r="E147" i="1"/>
  <c r="D147" i="1"/>
  <c r="E146" i="1"/>
  <c r="D146" i="1"/>
  <c r="E150" i="1"/>
  <c r="F145" i="1"/>
  <c r="F144" i="1"/>
  <c r="E137" i="1"/>
  <c r="D137" i="1"/>
  <c r="E136" i="1"/>
  <c r="D136" i="1"/>
  <c r="D143" i="1"/>
  <c r="F142" i="1"/>
  <c r="E142" i="1"/>
  <c r="D142" i="1"/>
  <c r="E135" i="1"/>
  <c r="D135" i="1"/>
  <c r="D134" i="1"/>
  <c r="F141" i="1"/>
  <c r="F140" i="1"/>
  <c r="E140" i="1"/>
  <c r="D140" i="1"/>
  <c r="F133" i="1"/>
  <c r="E133" i="1"/>
  <c r="D133" i="1"/>
  <c r="F132" i="1"/>
  <c r="E132" i="1"/>
  <c r="D132" i="1"/>
  <c r="F131" i="1"/>
  <c r="E131" i="1"/>
  <c r="E130" i="1"/>
  <c r="D130" i="1"/>
  <c r="E134" i="1"/>
  <c r="F129" i="1"/>
  <c r="F128" i="1"/>
  <c r="E121" i="1"/>
  <c r="D121" i="1"/>
  <c r="E120" i="1"/>
  <c r="D120" i="1"/>
  <c r="F127" i="1"/>
  <c r="D127" i="1"/>
  <c r="F126" i="1"/>
  <c r="D126" i="1"/>
  <c r="E119" i="1"/>
  <c r="D119" i="1"/>
  <c r="E118" i="1"/>
  <c r="D125" i="1"/>
  <c r="F124" i="1"/>
  <c r="E117" i="1"/>
  <c r="D117" i="1"/>
  <c r="E116" i="1"/>
  <c r="D116" i="1"/>
  <c r="F115" i="1"/>
  <c r="E115" i="1"/>
  <c r="E114" i="1"/>
  <c r="D118" i="1"/>
  <c r="D114" i="1"/>
  <c r="F113" i="1"/>
  <c r="F112" i="1"/>
  <c r="F105" i="1"/>
  <c r="E111" i="1"/>
  <c r="E105" i="1"/>
  <c r="D105" i="1"/>
  <c r="F104" i="1"/>
  <c r="E104" i="1"/>
  <c r="D104" i="1"/>
  <c r="F111" i="1"/>
  <c r="F110" i="1"/>
  <c r="E110" i="1"/>
  <c r="D110" i="1"/>
  <c r="E103" i="1"/>
  <c r="D103" i="1"/>
  <c r="E102" i="1"/>
  <c r="D102" i="1"/>
  <c r="D109" i="1"/>
  <c r="F108" i="1"/>
  <c r="E108" i="1"/>
  <c r="E101" i="1"/>
  <c r="D101" i="1"/>
  <c r="E100" i="1"/>
  <c r="D100" i="1"/>
  <c r="E99" i="1"/>
  <c r="E98" i="1"/>
  <c r="D98" i="1"/>
  <c r="F96" i="1"/>
  <c r="F97" i="1"/>
  <c r="E89" i="1"/>
  <c r="D89" i="1"/>
  <c r="F88" i="1"/>
  <c r="E88" i="1"/>
  <c r="D88" i="1"/>
  <c r="F95" i="1"/>
  <c r="E95" i="1"/>
  <c r="F94" i="1"/>
  <c r="E94" i="1"/>
  <c r="D94" i="1"/>
  <c r="E87" i="1"/>
  <c r="F87" i="1"/>
  <c r="D87" i="1"/>
  <c r="F86" i="1"/>
  <c r="E86" i="1"/>
  <c r="D86" i="1"/>
  <c r="D93" i="1"/>
  <c r="F92" i="1"/>
  <c r="E92" i="1"/>
  <c r="E85" i="1"/>
  <c r="D85" i="1"/>
  <c r="E84" i="1"/>
  <c r="D84" i="1"/>
  <c r="F83" i="1"/>
  <c r="E83" i="1"/>
  <c r="E82" i="1"/>
  <c r="D82" i="1"/>
  <c r="F81" i="1"/>
  <c r="F80" i="1"/>
  <c r="E73" i="1"/>
  <c r="D73" i="1"/>
  <c r="E72" i="1"/>
  <c r="D72" i="1"/>
  <c r="F79" i="1"/>
  <c r="F78" i="1"/>
  <c r="E78" i="1"/>
  <c r="D78" i="1"/>
  <c r="F71" i="1"/>
  <c r="E71" i="1"/>
  <c r="D71" i="1"/>
  <c r="E70" i="1"/>
  <c r="D70" i="1"/>
  <c r="D77" i="1"/>
  <c r="F76" i="1"/>
  <c r="E76" i="1"/>
  <c r="F69" i="1"/>
  <c r="E69" i="1"/>
  <c r="D69" i="1"/>
  <c r="F68" i="1"/>
  <c r="E68" i="1"/>
  <c r="D68" i="1"/>
  <c r="F67" i="1"/>
  <c r="E67" i="1"/>
  <c r="D67" i="1"/>
  <c r="E66" i="1"/>
  <c r="D66" i="1"/>
  <c r="F65" i="1"/>
  <c r="F64" i="1"/>
  <c r="E57" i="1"/>
  <c r="F57" i="1"/>
  <c r="D57" i="1"/>
  <c r="E56" i="1"/>
  <c r="D56" i="1"/>
  <c r="F63" i="1"/>
  <c r="E63" i="1"/>
  <c r="F62" i="1"/>
  <c r="E62" i="1"/>
  <c r="F55" i="1"/>
  <c r="E55" i="1"/>
  <c r="D55" i="1"/>
  <c r="F54" i="1"/>
  <c r="E54" i="1"/>
  <c r="D54" i="1"/>
  <c r="F61" i="1"/>
  <c r="E61" i="1"/>
  <c r="F60" i="1"/>
  <c r="E60" i="1"/>
  <c r="D60" i="1"/>
  <c r="E53" i="1"/>
  <c r="D53" i="1"/>
  <c r="E52" i="1"/>
  <c r="D52" i="1"/>
  <c r="E51" i="1"/>
  <c r="F51" i="1"/>
  <c r="D51" i="1"/>
  <c r="F50" i="1"/>
  <c r="E50" i="1"/>
  <c r="D50" i="1"/>
  <c r="F53" i="1"/>
  <c r="F41" i="1"/>
  <c r="E41" i="1"/>
  <c r="D41" i="1"/>
  <c r="F40" i="1"/>
  <c r="E40" i="1"/>
  <c r="D40" i="1"/>
  <c r="F39" i="1"/>
  <c r="E39" i="1"/>
  <c r="D39" i="1"/>
  <c r="F38" i="1"/>
  <c r="E38" i="1"/>
  <c r="D38" i="1"/>
  <c r="F49" i="1"/>
  <c r="F48" i="1"/>
  <c r="E37" i="1"/>
  <c r="F37" i="1"/>
  <c r="D37" i="1"/>
  <c r="F36" i="1"/>
  <c r="E36" i="1"/>
  <c r="D36" i="1"/>
  <c r="F35" i="1"/>
  <c r="E35" i="1"/>
  <c r="D35" i="1"/>
  <c r="E34" i="1"/>
  <c r="D34" i="1"/>
  <c r="F34" i="1"/>
  <c r="F25" i="1"/>
  <c r="E25" i="1"/>
  <c r="D25" i="1"/>
  <c r="F24" i="1"/>
  <c r="E24" i="1"/>
  <c r="D24" i="1"/>
  <c r="F33" i="1"/>
  <c r="F32" i="1"/>
  <c r="F31" i="1"/>
  <c r="F30" i="1"/>
  <c r="F47" i="1"/>
  <c r="F46" i="1"/>
  <c r="F45" i="1"/>
  <c r="F44" i="1"/>
  <c r="F23" i="1"/>
  <c r="E23" i="1"/>
  <c r="D23" i="1"/>
  <c r="F22" i="1"/>
  <c r="E22" i="1"/>
  <c r="D22" i="1"/>
  <c r="F21" i="1"/>
  <c r="E21" i="1"/>
  <c r="D21" i="1"/>
  <c r="F20" i="1"/>
  <c r="E20" i="1"/>
  <c r="D20" i="1"/>
  <c r="F28" i="1"/>
  <c r="F29" i="1"/>
  <c r="F19" i="1"/>
  <c r="E19" i="1"/>
  <c r="D19" i="1"/>
  <c r="F18" i="1"/>
  <c r="E18" i="1"/>
  <c r="D18" i="1"/>
  <c r="E9" i="1"/>
  <c r="D9" i="1"/>
  <c r="F9" i="1"/>
  <c r="F8" i="1"/>
  <c r="E8" i="1"/>
  <c r="D8" i="1"/>
  <c r="F17" i="1"/>
  <c r="F16" i="1"/>
  <c r="F7" i="1"/>
  <c r="E7" i="1"/>
  <c r="D7" i="1"/>
  <c r="F6" i="1"/>
  <c r="E6" i="1"/>
  <c r="D6" i="1"/>
  <c r="F15" i="1"/>
  <c r="F14" i="1"/>
  <c r="F13" i="1"/>
  <c r="F12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sharedStrings.xml><?xml version="1.0" encoding="utf-8"?>
<sst xmlns="http://schemas.openxmlformats.org/spreadsheetml/2006/main" count="678" uniqueCount="30">
  <si>
    <t>vial</t>
  </si>
  <si>
    <t>time</t>
  </si>
  <si>
    <t>antibiotic</t>
  </si>
  <si>
    <t>M0</t>
  </si>
  <si>
    <t>2h</t>
  </si>
  <si>
    <t>KAN</t>
  </si>
  <si>
    <t>M1</t>
  </si>
  <si>
    <t>M2</t>
  </si>
  <si>
    <t>M3</t>
  </si>
  <si>
    <t>M4</t>
  </si>
  <si>
    <t>M5</t>
  </si>
  <si>
    <t>M6</t>
  </si>
  <si>
    <t>M7</t>
  </si>
  <si>
    <t>AMP</t>
  </si>
  <si>
    <t>20h</t>
  </si>
  <si>
    <t>44h</t>
  </si>
  <si>
    <t>PL</t>
  </si>
  <si>
    <t>PM</t>
  </si>
  <si>
    <t>LM</t>
  </si>
  <si>
    <t>68h</t>
  </si>
  <si>
    <t>92h</t>
  </si>
  <si>
    <t>116h</t>
  </si>
  <si>
    <t>140h</t>
  </si>
  <si>
    <t>162h</t>
  </si>
  <si>
    <t>186h</t>
  </si>
  <si>
    <t>210h</t>
  </si>
  <si>
    <t>234h</t>
  </si>
  <si>
    <t>258h</t>
  </si>
  <si>
    <t>282h</t>
  </si>
  <si>
    <t>306h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</si>
</sst>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DE10-E0E3-456D-98C3-2374ED4B53E6}">
  <dimension ref="A1:F225"/>
  <sheetViews>
    <sheetView tabSelected="1" topLeftCell="A204" workbookViewId="0">
      <selection activeCell="D224" sqref="D224:F225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16</v>
      </c>
      <c r="E1" t="s">
        <v>17</v>
      </c>
      <c r="F1" t="s">
        <v>18</v>
      </c>
    </row>
    <row r="2" spans="1:6" x14ac:dyDescent="0.25">
      <c r="A2" t="s">
        <v>3</v>
      </c>
      <c r="B2" t="s">
        <v>4</v>
      </c>
      <c r="C2" t="s">
        <v>5</v>
      </c>
      <c r="D2">
        <f>6/(10^(-5)*0.01)</f>
        <v>59999999.999999993</v>
      </c>
      <c r="E2">
        <f t="shared" ref="E2" si="0">6/(10^(-5)*0.01)</f>
        <v>59999999.999999993</v>
      </c>
      <c r="F2">
        <f>5/(10^(-5)*0.01)</f>
        <v>49999999.999999993</v>
      </c>
    </row>
    <row r="3" spans="1:6" x14ac:dyDescent="0.25">
      <c r="A3" t="s">
        <v>6</v>
      </c>
      <c r="B3" t="s">
        <v>4</v>
      </c>
      <c r="C3" t="s">
        <v>5</v>
      </c>
      <c r="D3">
        <f>7/(10^(-5)*0.01)</f>
        <v>70000000</v>
      </c>
      <c r="E3">
        <f>6/(10^(-5)*0.01)</f>
        <v>59999999.999999993</v>
      </c>
      <c r="F3">
        <f>5/(10^(-5)*0.01)</f>
        <v>49999999.999999993</v>
      </c>
    </row>
    <row r="4" spans="1:6" x14ac:dyDescent="0.25">
      <c r="A4" t="s">
        <v>7</v>
      </c>
      <c r="B4" t="s">
        <v>4</v>
      </c>
      <c r="C4" t="s">
        <v>5</v>
      </c>
      <c r="D4">
        <f>68/(10^(-4)*0.01)</f>
        <v>67999999.999999985</v>
      </c>
      <c r="E4">
        <f>79/(10^(-4)*0.01)</f>
        <v>78999999.999999985</v>
      </c>
      <c r="F4">
        <f>5/(10^(-5)*0.01)</f>
        <v>49999999.999999993</v>
      </c>
    </row>
    <row r="5" spans="1:6" x14ac:dyDescent="0.25">
      <c r="A5" t="s">
        <v>8</v>
      </c>
      <c r="B5" t="s">
        <v>4</v>
      </c>
      <c r="C5" t="s">
        <v>5</v>
      </c>
      <c r="D5">
        <f>41/(10^(-4)*0.01)</f>
        <v>40999999.999999993</v>
      </c>
      <c r="E5">
        <f>54/(10^(-4)*0.01)</f>
        <v>53999999.999999993</v>
      </c>
      <c r="F5">
        <f>47/(10^(-4)*0.01)</f>
        <v>46999999.999999993</v>
      </c>
    </row>
    <row r="6" spans="1:6" x14ac:dyDescent="0.25">
      <c r="A6" t="s">
        <v>9</v>
      </c>
      <c r="B6" t="s">
        <v>4</v>
      </c>
      <c r="C6" t="s">
        <v>5</v>
      </c>
      <c r="D6">
        <f>9/(10^(-5)*0.01)</f>
        <v>89999999.999999985</v>
      </c>
      <c r="E6">
        <f t="shared" ref="E6" si="1">9/(10^(-5)*0.01)</f>
        <v>89999999.999999985</v>
      </c>
      <c r="F6">
        <f>20/(10^(-5)*0.01)</f>
        <v>199999999.99999997</v>
      </c>
    </row>
    <row r="7" spans="1:6" x14ac:dyDescent="0.25">
      <c r="A7" t="s">
        <v>10</v>
      </c>
      <c r="B7" t="s">
        <v>4</v>
      </c>
      <c r="C7" t="s">
        <v>5</v>
      </c>
      <c r="D7">
        <f>41/(10^(-4)*0.01)</f>
        <v>40999999.999999993</v>
      </c>
      <c r="E7">
        <f>60/(10^(-4)*0.01)</f>
        <v>59999999.999999993</v>
      </c>
      <c r="F7">
        <f>20/(10^(-5)*0.01)</f>
        <v>199999999.99999997</v>
      </c>
    </row>
    <row r="8" spans="1:6" x14ac:dyDescent="0.25">
      <c r="A8" t="s">
        <v>11</v>
      </c>
      <c r="B8" t="s">
        <v>4</v>
      </c>
      <c r="C8" t="s">
        <v>5</v>
      </c>
      <c r="D8">
        <f>10/(10^(-5)*0.01)</f>
        <v>99999999.999999985</v>
      </c>
      <c r="E8">
        <f>12/(10^(-5)*0.01)</f>
        <v>119999999.99999999</v>
      </c>
      <c r="F8">
        <f>17/(10^(-5)*0.01)</f>
        <v>170000000</v>
      </c>
    </row>
    <row r="9" spans="1:6" x14ac:dyDescent="0.25">
      <c r="A9" t="s">
        <v>12</v>
      </c>
      <c r="B9" t="s">
        <v>4</v>
      </c>
      <c r="C9" t="s">
        <v>5</v>
      </c>
      <c r="D9">
        <f>8/(10^(-5)*0.01)</f>
        <v>80000000</v>
      </c>
      <c r="E9">
        <f>9/(10^(-5)*0.01)</f>
        <v>89999999.999999985</v>
      </c>
      <c r="F9">
        <f t="shared" ref="F9" si="2">10/(10^(-5)*0.01)</f>
        <v>99999999.999999985</v>
      </c>
    </row>
    <row r="10" spans="1:6" x14ac:dyDescent="0.25">
      <c r="A10" t="s">
        <v>3</v>
      </c>
      <c r="B10" t="s">
        <v>4</v>
      </c>
      <c r="C10" t="s">
        <v>13</v>
      </c>
      <c r="D10">
        <v>0</v>
      </c>
      <c r="E10">
        <v>0</v>
      </c>
      <c r="F10">
        <v>0</v>
      </c>
    </row>
    <row r="11" spans="1:6" x14ac:dyDescent="0.25">
      <c r="A11" t="s">
        <v>6</v>
      </c>
      <c r="B11" t="s">
        <v>4</v>
      </c>
      <c r="C11" t="s">
        <v>13</v>
      </c>
      <c r="D11">
        <v>0</v>
      </c>
      <c r="E11">
        <v>0</v>
      </c>
      <c r="F11">
        <v>0</v>
      </c>
    </row>
    <row r="12" spans="1:6" x14ac:dyDescent="0.25">
      <c r="A12" t="s">
        <v>7</v>
      </c>
      <c r="B12" t="s">
        <v>4</v>
      </c>
      <c r="C12" t="s">
        <v>13</v>
      </c>
      <c r="D12">
        <v>0</v>
      </c>
      <c r="E12">
        <v>0</v>
      </c>
      <c r="F12">
        <f>18/(10^(-4)*0.01)</f>
        <v>17999999.999999996</v>
      </c>
    </row>
    <row r="13" spans="1:6" x14ac:dyDescent="0.25">
      <c r="A13" t="s">
        <v>8</v>
      </c>
      <c r="B13" t="s">
        <v>4</v>
      </c>
      <c r="C13" t="s">
        <v>13</v>
      </c>
      <c r="D13">
        <v>0</v>
      </c>
      <c r="E13">
        <v>0</v>
      </c>
      <c r="F13">
        <f>24/(10^(-4)*0.01)</f>
        <v>23999999.999999996</v>
      </c>
    </row>
    <row r="14" spans="1:6" x14ac:dyDescent="0.25">
      <c r="A14" t="s">
        <v>9</v>
      </c>
      <c r="B14" t="s">
        <v>4</v>
      </c>
      <c r="C14" t="s">
        <v>13</v>
      </c>
      <c r="D14">
        <v>0</v>
      </c>
      <c r="E14">
        <v>0</v>
      </c>
      <c r="F14">
        <f>12/(10^(-5)*0.01)</f>
        <v>119999999.99999999</v>
      </c>
    </row>
    <row r="15" spans="1:6" x14ac:dyDescent="0.25">
      <c r="A15" t="s">
        <v>10</v>
      </c>
      <c r="B15" t="s">
        <v>4</v>
      </c>
      <c r="C15" t="s">
        <v>13</v>
      </c>
      <c r="D15">
        <v>0</v>
      </c>
      <c r="E15">
        <v>0</v>
      </c>
      <c r="F15">
        <f>11/(10^(-5)*0.01)</f>
        <v>109999999.99999999</v>
      </c>
    </row>
    <row r="16" spans="1:6" x14ac:dyDescent="0.25">
      <c r="A16" t="s">
        <v>11</v>
      </c>
      <c r="B16" t="s">
        <v>4</v>
      </c>
      <c r="C16" t="s">
        <v>13</v>
      </c>
      <c r="D16">
        <v>0</v>
      </c>
      <c r="E16">
        <v>0</v>
      </c>
      <c r="F16">
        <f>15/(10^(-5)*0.01)</f>
        <v>150000000</v>
      </c>
    </row>
    <row r="17" spans="1:6" x14ac:dyDescent="0.25">
      <c r="A17" t="s">
        <v>12</v>
      </c>
      <c r="B17" t="s">
        <v>4</v>
      </c>
      <c r="C17" t="s">
        <v>13</v>
      </c>
      <c r="D17">
        <v>0</v>
      </c>
      <c r="E17">
        <v>0</v>
      </c>
      <c r="F17">
        <f>20/(10^(-5)*0.01)</f>
        <v>199999999.99999997</v>
      </c>
    </row>
    <row r="18" spans="1:6" x14ac:dyDescent="0.25">
      <c r="A18" t="s">
        <v>3</v>
      </c>
      <c r="B18" t="s">
        <v>14</v>
      </c>
      <c r="C18" t="s">
        <v>5</v>
      </c>
      <c r="D18">
        <f>5/(10^(-5)*0.01)</f>
        <v>49999999.999999993</v>
      </c>
      <c r="E18">
        <f>58/(10^(-4)*0.01)</f>
        <v>57999999.999999993</v>
      </c>
      <c r="F18">
        <f>5/(10^(-5)*0.01)</f>
        <v>49999999.999999993</v>
      </c>
    </row>
    <row r="19" spans="1:6" x14ac:dyDescent="0.25">
      <c r="A19" t="s">
        <v>6</v>
      </c>
      <c r="B19" t="s">
        <v>14</v>
      </c>
      <c r="C19" t="s">
        <v>5</v>
      </c>
      <c r="D19">
        <f>38/(10^(-4)*0.01)</f>
        <v>37999999.999999993</v>
      </c>
      <c r="E19">
        <f>37/(10^(-4)*0.01)</f>
        <v>36999999.999999993</v>
      </c>
      <c r="F19">
        <f>19/(10^(-4)*0.01)</f>
        <v>18999999.999999996</v>
      </c>
    </row>
    <row r="20" spans="1:6" x14ac:dyDescent="0.25">
      <c r="A20" t="s">
        <v>7</v>
      </c>
      <c r="B20" t="s">
        <v>14</v>
      </c>
      <c r="C20" t="s">
        <v>5</v>
      </c>
      <c r="D20">
        <f>7/(10^(-5)*0.01)</f>
        <v>70000000</v>
      </c>
      <c r="E20">
        <f>5/(10^(-5)*0.01)</f>
        <v>49999999.999999993</v>
      </c>
      <c r="F20">
        <f>6/(10^(-5)*0.01)</f>
        <v>59999999.999999993</v>
      </c>
    </row>
    <row r="21" spans="1:6" x14ac:dyDescent="0.25">
      <c r="A21" t="s">
        <v>8</v>
      </c>
      <c r="B21" t="s">
        <v>14</v>
      </c>
      <c r="C21" t="s">
        <v>5</v>
      </c>
      <c r="D21">
        <f>26/(10^(-4)*0.01)</f>
        <v>25999999.999999996</v>
      </c>
      <c r="E21">
        <f>40/(10^(-4)*0.01)</f>
        <v>39999999.999999993</v>
      </c>
      <c r="F21">
        <f>25/(10^(-4)*0.01)</f>
        <v>24999999.999999996</v>
      </c>
    </row>
    <row r="22" spans="1:6" x14ac:dyDescent="0.25">
      <c r="A22" t="s">
        <v>9</v>
      </c>
      <c r="B22" t="s">
        <v>14</v>
      </c>
      <c r="C22" t="s">
        <v>5</v>
      </c>
      <c r="D22">
        <f>5/(10^(-5)*0.01)</f>
        <v>49999999.999999993</v>
      </c>
      <c r="E22">
        <f>6/(10^(-5)*0.01)</f>
        <v>59999999.999999993</v>
      </c>
      <c r="F22">
        <f>21/(10^(-5)*0.01)</f>
        <v>209999999.99999997</v>
      </c>
    </row>
    <row r="23" spans="1:6" x14ac:dyDescent="0.25">
      <c r="A23" t="s">
        <v>10</v>
      </c>
      <c r="B23" t="s">
        <v>14</v>
      </c>
      <c r="C23" t="s">
        <v>5</v>
      </c>
      <c r="D23">
        <f>36/(10^(-4)*0.01)</f>
        <v>35999999.999999993</v>
      </c>
      <c r="E23">
        <f>33/(10^(-4)*0.01)</f>
        <v>32999999.999999996</v>
      </c>
      <c r="F23">
        <f>23/(10^(-5)*0.01)</f>
        <v>229999999.99999997</v>
      </c>
    </row>
    <row r="24" spans="1:6" x14ac:dyDescent="0.25">
      <c r="A24" t="s">
        <v>11</v>
      </c>
      <c r="B24" t="s">
        <v>14</v>
      </c>
      <c r="C24" t="s">
        <v>5</v>
      </c>
      <c r="D24">
        <f>49/(10^(-4)*0.01)</f>
        <v>48999999.999999993</v>
      </c>
      <c r="E24">
        <f>46/(10^(-4)*0.01)</f>
        <v>45999999.999999993</v>
      </c>
      <c r="F24">
        <f>2/(10^(-5)*0.01)</f>
        <v>20000000</v>
      </c>
    </row>
    <row r="25" spans="1:6" x14ac:dyDescent="0.25">
      <c r="A25" t="s">
        <v>12</v>
      </c>
      <c r="B25" t="s">
        <v>14</v>
      </c>
      <c r="C25" t="s">
        <v>5</v>
      </c>
      <c r="D25">
        <f>46/(10^(-4)*0.01)</f>
        <v>45999999.999999993</v>
      </c>
      <c r="E25">
        <f>21/(10^(-4)*0.01)</f>
        <v>20999999.999999996</v>
      </c>
      <c r="F25">
        <f>6/(10^(-5)*0.01)</f>
        <v>59999999.999999993</v>
      </c>
    </row>
    <row r="26" spans="1:6" x14ac:dyDescent="0.25">
      <c r="A26" t="s">
        <v>3</v>
      </c>
      <c r="B26" t="s">
        <v>14</v>
      </c>
      <c r="C26" t="s">
        <v>13</v>
      </c>
      <c r="D26">
        <v>0</v>
      </c>
      <c r="E26">
        <v>0</v>
      </c>
      <c r="F26">
        <v>0</v>
      </c>
    </row>
    <row r="27" spans="1:6" x14ac:dyDescent="0.25">
      <c r="A27" t="s">
        <v>6</v>
      </c>
      <c r="B27" t="s">
        <v>14</v>
      </c>
      <c r="C27" t="s">
        <v>13</v>
      </c>
      <c r="D27">
        <v>0</v>
      </c>
      <c r="E27">
        <v>0</v>
      </c>
      <c r="F27">
        <v>0</v>
      </c>
    </row>
    <row r="28" spans="1:6" x14ac:dyDescent="0.25">
      <c r="A28" t="s">
        <v>7</v>
      </c>
      <c r="B28" t="s">
        <v>14</v>
      </c>
      <c r="C28" t="s">
        <v>13</v>
      </c>
      <c r="D28">
        <v>0</v>
      </c>
      <c r="E28">
        <v>0</v>
      </c>
      <c r="F28">
        <f>8/(10^(-4)*0.01)</f>
        <v>7999999.9999999991</v>
      </c>
    </row>
    <row r="29" spans="1:6" x14ac:dyDescent="0.25">
      <c r="A29" t="s">
        <v>8</v>
      </c>
      <c r="B29" t="s">
        <v>14</v>
      </c>
      <c r="C29" t="s">
        <v>13</v>
      </c>
      <c r="D29">
        <v>0</v>
      </c>
      <c r="E29">
        <v>0</v>
      </c>
      <c r="F29">
        <f>9/(10^(-4)*0.01)</f>
        <v>8999999.9999999981</v>
      </c>
    </row>
    <row r="30" spans="1:6" x14ac:dyDescent="0.25">
      <c r="A30" t="s">
        <v>9</v>
      </c>
      <c r="B30" t="s">
        <v>14</v>
      </c>
      <c r="C30" t="s">
        <v>13</v>
      </c>
      <c r="D30">
        <v>0</v>
      </c>
      <c r="E30">
        <v>0</v>
      </c>
      <c r="F30">
        <f>11/(10^(-5)*0.01)</f>
        <v>109999999.99999999</v>
      </c>
    </row>
    <row r="31" spans="1:6" x14ac:dyDescent="0.25">
      <c r="A31" t="s">
        <v>10</v>
      </c>
      <c r="B31" t="s">
        <v>14</v>
      </c>
      <c r="C31" t="s">
        <v>13</v>
      </c>
      <c r="D31">
        <v>0</v>
      </c>
      <c r="E31">
        <v>0</v>
      </c>
      <c r="F31">
        <f>16/(10^(-5)*0.01)</f>
        <v>160000000</v>
      </c>
    </row>
    <row r="32" spans="1:6" x14ac:dyDescent="0.25">
      <c r="A32" t="s">
        <v>11</v>
      </c>
      <c r="B32" t="s">
        <v>14</v>
      </c>
      <c r="C32" t="s">
        <v>13</v>
      </c>
      <c r="D32">
        <v>0</v>
      </c>
      <c r="E32">
        <v>0</v>
      </c>
      <c r="F32">
        <f>74/(10^(-4)*0.01)</f>
        <v>73999999.999999985</v>
      </c>
    </row>
    <row r="33" spans="1:6" x14ac:dyDescent="0.25">
      <c r="A33" t="s">
        <v>12</v>
      </c>
      <c r="B33" t="s">
        <v>14</v>
      </c>
      <c r="C33" t="s">
        <v>13</v>
      </c>
      <c r="D33">
        <v>0</v>
      </c>
      <c r="E33">
        <v>0</v>
      </c>
      <c r="F33">
        <f>65/(10^(-4)*0.01)</f>
        <v>64999999.999999993</v>
      </c>
    </row>
    <row r="34" spans="1:6" x14ac:dyDescent="0.25">
      <c r="A34" t="s">
        <v>3</v>
      </c>
      <c r="B34" t="s">
        <v>15</v>
      </c>
      <c r="C34" t="s">
        <v>5</v>
      </c>
      <c r="D34">
        <f>16/(10^(-5)*0.01)</f>
        <v>160000000</v>
      </c>
      <c r="E34">
        <f>15/(10^(-5)*0.01)</f>
        <v>150000000</v>
      </c>
      <c r="F34">
        <f>5/(10^(-5)*0.01)</f>
        <v>49999999.999999993</v>
      </c>
    </row>
    <row r="35" spans="1:6" x14ac:dyDescent="0.25">
      <c r="A35" t="s">
        <v>6</v>
      </c>
      <c r="B35" t="s">
        <v>15</v>
      </c>
      <c r="C35" t="s">
        <v>5</v>
      </c>
      <c r="D35">
        <f>6/(10^(-2)*0.01)</f>
        <v>60000</v>
      </c>
      <c r="E35">
        <f>11/(10^(-3)*0.01)</f>
        <v>1100000</v>
      </c>
      <c r="F35">
        <f>6/(10^(-3)*0.01)</f>
        <v>600000</v>
      </c>
    </row>
    <row r="36" spans="1:6" x14ac:dyDescent="0.25">
      <c r="A36" t="s">
        <v>7</v>
      </c>
      <c r="B36" t="s">
        <v>15</v>
      </c>
      <c r="C36" t="s">
        <v>5</v>
      </c>
      <c r="D36">
        <f>20/(10^(-5)*0.01)</f>
        <v>199999999.99999997</v>
      </c>
      <c r="E36">
        <f>19/(10^(-5)*0.01)</f>
        <v>189999999.99999997</v>
      </c>
      <c r="F36">
        <f>1/(10^(-5)*0.01)</f>
        <v>10000000</v>
      </c>
    </row>
    <row r="37" spans="1:6" x14ac:dyDescent="0.25">
      <c r="A37" t="s">
        <v>8</v>
      </c>
      <c r="B37" t="s">
        <v>15</v>
      </c>
      <c r="C37" t="s">
        <v>5</v>
      </c>
      <c r="D37">
        <f>4/(10^(-4)*0.01)</f>
        <v>3999999.9999999995</v>
      </c>
      <c r="E37">
        <f>13/(10^(-5)*0.01)</f>
        <v>129999999.99999999</v>
      </c>
      <c r="F37">
        <f>8/(10^(-5)*0.01)</f>
        <v>80000000</v>
      </c>
    </row>
    <row r="38" spans="1:6" x14ac:dyDescent="0.25">
      <c r="A38" t="s">
        <v>9</v>
      </c>
      <c r="B38" t="s">
        <v>15</v>
      </c>
      <c r="C38" t="s">
        <v>5</v>
      </c>
      <c r="D38">
        <f>11/(10^(-5)*0.01)</f>
        <v>109999999.99999999</v>
      </c>
      <c r="E38">
        <f>19/(10^(-5)*0.01)</f>
        <v>189999999.99999997</v>
      </c>
      <c r="F38">
        <f>4/(10^(-5)*0.01)</f>
        <v>40000000</v>
      </c>
    </row>
    <row r="39" spans="1:6" x14ac:dyDescent="0.25">
      <c r="A39" t="s">
        <v>10</v>
      </c>
      <c r="B39" t="s">
        <v>15</v>
      </c>
      <c r="C39" t="s">
        <v>5</v>
      </c>
      <c r="D39">
        <f>14/(10^(-5)*0.01)</f>
        <v>140000000</v>
      </c>
      <c r="E39">
        <f>15/(10^(-5)*0.01)</f>
        <v>150000000</v>
      </c>
      <c r="F39">
        <f>6/(10^(-5)*0.01)</f>
        <v>59999999.999999993</v>
      </c>
    </row>
    <row r="40" spans="1:6" x14ac:dyDescent="0.25">
      <c r="A40" t="s">
        <v>11</v>
      </c>
      <c r="B40" t="s">
        <v>15</v>
      </c>
      <c r="C40" t="s">
        <v>5</v>
      </c>
      <c r="D40">
        <f>47/(10^(-4)*0.01)</f>
        <v>46999999.999999993</v>
      </c>
      <c r="E40">
        <f>31/(10^(-4)*0.01)</f>
        <v>30999999.999999996</v>
      </c>
      <c r="F40">
        <f>3/(10^(-5)*0.01)</f>
        <v>29999999.999999996</v>
      </c>
    </row>
    <row r="41" spans="1:6" x14ac:dyDescent="0.25">
      <c r="A41" t="s">
        <v>12</v>
      </c>
      <c r="B41" t="s">
        <v>15</v>
      </c>
      <c r="C41" t="s">
        <v>5</v>
      </c>
      <c r="D41">
        <f>32/(10^(-4)*0.01)</f>
        <v>31999999.999999996</v>
      </c>
      <c r="E41">
        <f>19/(10^(-4)*0.01)</f>
        <v>18999999.999999996</v>
      </c>
      <c r="F41">
        <f>2/(10^(-5)*0.01)</f>
        <v>20000000</v>
      </c>
    </row>
    <row r="42" spans="1:6" x14ac:dyDescent="0.25">
      <c r="A42" t="s">
        <v>3</v>
      </c>
      <c r="B42" t="s">
        <v>15</v>
      </c>
      <c r="C42" t="s">
        <v>13</v>
      </c>
      <c r="D42">
        <v>0</v>
      </c>
      <c r="E42">
        <v>0</v>
      </c>
      <c r="F42">
        <v>0</v>
      </c>
    </row>
    <row r="43" spans="1:6" x14ac:dyDescent="0.25">
      <c r="A43" t="s">
        <v>6</v>
      </c>
      <c r="B43" t="s">
        <v>15</v>
      </c>
      <c r="C43" t="s">
        <v>13</v>
      </c>
      <c r="D43">
        <v>0</v>
      </c>
      <c r="E43">
        <v>0</v>
      </c>
      <c r="F43">
        <v>0</v>
      </c>
    </row>
    <row r="44" spans="1:6" x14ac:dyDescent="0.25">
      <c r="A44" t="s">
        <v>7</v>
      </c>
      <c r="B44" t="s">
        <v>15</v>
      </c>
      <c r="C44" t="s">
        <v>13</v>
      </c>
      <c r="D44">
        <v>0</v>
      </c>
      <c r="E44">
        <v>0</v>
      </c>
      <c r="F44">
        <f>39/(10^(-3)*0.01)</f>
        <v>3899999.9999999995</v>
      </c>
    </row>
    <row r="45" spans="1:6" x14ac:dyDescent="0.25">
      <c r="A45" t="s">
        <v>8</v>
      </c>
      <c r="B45" t="s">
        <v>15</v>
      </c>
      <c r="C45" t="s">
        <v>13</v>
      </c>
      <c r="D45">
        <v>0</v>
      </c>
      <c r="E45">
        <v>0</v>
      </c>
      <c r="F45">
        <f>10/(10^(-4)*0.01)</f>
        <v>9999999.9999999981</v>
      </c>
    </row>
    <row r="46" spans="1:6" x14ac:dyDescent="0.25">
      <c r="A46" t="s">
        <v>9</v>
      </c>
      <c r="B46" t="s">
        <v>15</v>
      </c>
      <c r="C46" t="s">
        <v>13</v>
      </c>
      <c r="D46">
        <v>0</v>
      </c>
      <c r="E46">
        <v>0</v>
      </c>
      <c r="F46">
        <f>58/(10^(-4)*0.01)</f>
        <v>57999999.999999993</v>
      </c>
    </row>
    <row r="47" spans="1:6" x14ac:dyDescent="0.25">
      <c r="A47" t="s">
        <v>10</v>
      </c>
      <c r="B47" t="s">
        <v>15</v>
      </c>
      <c r="C47" t="s">
        <v>13</v>
      </c>
      <c r="D47">
        <v>0</v>
      </c>
      <c r="E47">
        <v>0</v>
      </c>
      <c r="F47">
        <f>5/(10^(-5)*0.01)</f>
        <v>49999999.999999993</v>
      </c>
    </row>
    <row r="48" spans="1:6" x14ac:dyDescent="0.25">
      <c r="A48" t="s">
        <v>11</v>
      </c>
      <c r="B48" t="s">
        <v>15</v>
      </c>
      <c r="C48" t="s">
        <v>13</v>
      </c>
      <c r="D48">
        <v>0</v>
      </c>
      <c r="E48">
        <v>0</v>
      </c>
      <c r="F48">
        <f>47/(10^(-4)*0.01)</f>
        <v>46999999.999999993</v>
      </c>
    </row>
    <row r="49" spans="1:6" x14ac:dyDescent="0.25">
      <c r="A49" t="s">
        <v>12</v>
      </c>
      <c r="B49" t="s">
        <v>15</v>
      </c>
      <c r="C49" t="s">
        <v>13</v>
      </c>
      <c r="D49">
        <v>0</v>
      </c>
      <c r="E49">
        <v>0</v>
      </c>
      <c r="F49">
        <f>35/(10^(-4)*0.01)</f>
        <v>34999999.999999993</v>
      </c>
    </row>
    <row r="50" spans="1:6" x14ac:dyDescent="0.25">
      <c r="A50" t="s">
        <v>3</v>
      </c>
      <c r="B50" t="s">
        <v>19</v>
      </c>
      <c r="C50" t="s">
        <v>5</v>
      </c>
      <c r="D50">
        <f>11/(10^(-5)*0.01)</f>
        <v>109999999.99999999</v>
      </c>
      <c r="E50">
        <f>21/(10^(-5)*0.01)</f>
        <v>209999999.99999997</v>
      </c>
      <c r="F50">
        <f>1/(10^(-4)*0.01)</f>
        <v>999999.99999999988</v>
      </c>
    </row>
    <row r="51" spans="1:6" x14ac:dyDescent="0.25">
      <c r="A51" t="s">
        <v>6</v>
      </c>
      <c r="B51" t="s">
        <v>19</v>
      </c>
      <c r="C51" t="s">
        <v>5</v>
      </c>
      <c r="D51">
        <f>1/(10^(-2)*0.01)</f>
        <v>10000</v>
      </c>
      <c r="E51">
        <f>1/(10^(-3)*0.01)</f>
        <v>99999.999999999985</v>
      </c>
      <c r="F51">
        <f>68/(10^(-3)*0.01)</f>
        <v>6799999.9999999991</v>
      </c>
    </row>
    <row r="52" spans="1:6" x14ac:dyDescent="0.25">
      <c r="A52" t="s">
        <v>7</v>
      </c>
      <c r="B52" t="s">
        <v>19</v>
      </c>
      <c r="C52" t="s">
        <v>5</v>
      </c>
      <c r="D52">
        <f>7/(10^(-5)*0.01)</f>
        <v>70000000</v>
      </c>
      <c r="E52">
        <f>20/(10^(-5)*0.01)</f>
        <v>199999999.99999997</v>
      </c>
      <c r="F52">
        <v>0</v>
      </c>
    </row>
    <row r="53" spans="1:6" x14ac:dyDescent="0.25">
      <c r="A53" t="s">
        <v>8</v>
      </c>
      <c r="B53" t="s">
        <v>19</v>
      </c>
      <c r="C53" t="s">
        <v>5</v>
      </c>
      <c r="D53">
        <f>1/(10^(-3)*0.01)</f>
        <v>99999.999999999985</v>
      </c>
      <c r="E53">
        <f>67/(10^(-4)*0.01)</f>
        <v>66999999.999999993</v>
      </c>
      <c r="F53">
        <f t="shared" ref="F53" si="3">32/(10^(-4)*0.01)</f>
        <v>31999999.999999996</v>
      </c>
    </row>
    <row r="54" spans="1:6" x14ac:dyDescent="0.25">
      <c r="A54" t="s">
        <v>9</v>
      </c>
      <c r="B54" t="s">
        <v>19</v>
      </c>
      <c r="C54" t="s">
        <v>5</v>
      </c>
      <c r="D54">
        <f>19/(10^(-5)*0.01)</f>
        <v>189999999.99999997</v>
      </c>
      <c r="E54">
        <f>19/(10^(-5)*0.01)</f>
        <v>189999999.99999997</v>
      </c>
      <c r="F54">
        <f>1/(10^(-5)*0.01)</f>
        <v>10000000</v>
      </c>
    </row>
    <row r="55" spans="1:6" x14ac:dyDescent="0.25">
      <c r="A55" t="s">
        <v>10</v>
      </c>
      <c r="B55" t="s">
        <v>19</v>
      </c>
      <c r="C55" t="s">
        <v>5</v>
      </c>
      <c r="D55">
        <f>33/(10^(-4)*0.01)</f>
        <v>32999999.999999996</v>
      </c>
      <c r="E55">
        <f>15/(10^(-5)*0.01)</f>
        <v>150000000</v>
      </c>
      <c r="F55">
        <f>3/(10^(-5)*0.01)</f>
        <v>29999999.999999996</v>
      </c>
    </row>
    <row r="56" spans="1:6" x14ac:dyDescent="0.25">
      <c r="A56" t="s">
        <v>11</v>
      </c>
      <c r="B56" t="s">
        <v>19</v>
      </c>
      <c r="C56" t="s">
        <v>5</v>
      </c>
      <c r="D56">
        <f>8/(10^(-5)*0.01)</f>
        <v>80000000</v>
      </c>
      <c r="E56">
        <f>16/(10^(-5)*0.01)</f>
        <v>160000000</v>
      </c>
      <c r="F56">
        <v>0</v>
      </c>
    </row>
    <row r="57" spans="1:6" x14ac:dyDescent="0.25">
      <c r="A57" t="s">
        <v>12</v>
      </c>
      <c r="B57" t="s">
        <v>19</v>
      </c>
      <c r="C57" t="s">
        <v>5</v>
      </c>
      <c r="D57">
        <f>15/(10^(-5)*0.01)</f>
        <v>150000000</v>
      </c>
      <c r="E57">
        <f>2/(10^(-5)*0.01)</f>
        <v>20000000</v>
      </c>
      <c r="F57">
        <f>26/(10^(-5)*0.01)</f>
        <v>259999999.99999997</v>
      </c>
    </row>
    <row r="58" spans="1:6" x14ac:dyDescent="0.25">
      <c r="A58" t="s">
        <v>3</v>
      </c>
      <c r="B58" t="s">
        <v>19</v>
      </c>
      <c r="C58" t="s">
        <v>13</v>
      </c>
      <c r="D58">
        <v>0</v>
      </c>
      <c r="E58">
        <v>0</v>
      </c>
      <c r="F58">
        <v>0</v>
      </c>
    </row>
    <row r="59" spans="1:6" x14ac:dyDescent="0.25">
      <c r="A59" t="s">
        <v>6</v>
      </c>
      <c r="B59" t="s">
        <v>19</v>
      </c>
      <c r="C59" t="s">
        <v>13</v>
      </c>
      <c r="D59">
        <v>0</v>
      </c>
      <c r="E59">
        <v>0</v>
      </c>
      <c r="F59">
        <v>0</v>
      </c>
    </row>
    <row r="60" spans="1:6" x14ac:dyDescent="0.25">
      <c r="A60" t="s">
        <v>7</v>
      </c>
      <c r="B60" t="s">
        <v>19</v>
      </c>
      <c r="C60" t="s">
        <v>13</v>
      </c>
      <c r="D60">
        <f>2/(10^(-1)*0.01)</f>
        <v>2000</v>
      </c>
      <c r="E60">
        <f>5/(10^(-1)*0.01)</f>
        <v>5000</v>
      </c>
      <c r="F60">
        <f>39/(10^(-2)*0.01)</f>
        <v>390000</v>
      </c>
    </row>
    <row r="61" spans="1:6" x14ac:dyDescent="0.25">
      <c r="A61" t="s">
        <v>8</v>
      </c>
      <c r="B61" t="s">
        <v>19</v>
      </c>
      <c r="C61" t="s">
        <v>13</v>
      </c>
      <c r="D61">
        <v>0</v>
      </c>
      <c r="E61">
        <f>1/(10^(-1)*0.01)</f>
        <v>1000</v>
      </c>
      <c r="F61">
        <f>17/(10^(-3)*0.01)</f>
        <v>1699999.9999999998</v>
      </c>
    </row>
    <row r="62" spans="1:6" x14ac:dyDescent="0.25">
      <c r="A62" t="s">
        <v>9</v>
      </c>
      <c r="B62" t="s">
        <v>19</v>
      </c>
      <c r="C62" t="s">
        <v>13</v>
      </c>
      <c r="D62">
        <v>0</v>
      </c>
      <c r="E62">
        <f>1/(10^(-2)*0.01)</f>
        <v>10000</v>
      </c>
      <c r="F62">
        <f>29/(10^(-3)*0.01)</f>
        <v>2899999.9999999995</v>
      </c>
    </row>
    <row r="63" spans="1:6" x14ac:dyDescent="0.25">
      <c r="A63" t="s">
        <v>10</v>
      </c>
      <c r="B63" t="s">
        <v>19</v>
      </c>
      <c r="C63" t="s">
        <v>13</v>
      </c>
      <c r="D63">
        <v>0</v>
      </c>
      <c r="E63">
        <f>2/(10^(-2)*0.01)</f>
        <v>20000</v>
      </c>
      <c r="F63">
        <f>22/(10^(-4)*0.01)</f>
        <v>21999999.999999996</v>
      </c>
    </row>
    <row r="64" spans="1:6" x14ac:dyDescent="0.25">
      <c r="A64" t="s">
        <v>11</v>
      </c>
      <c r="B64" t="s">
        <v>19</v>
      </c>
      <c r="C64" t="s">
        <v>13</v>
      </c>
      <c r="D64">
        <v>0</v>
      </c>
      <c r="E64">
        <v>0</v>
      </c>
      <c r="F64">
        <f>24/(10^(-4)*0.01)</f>
        <v>23999999.999999996</v>
      </c>
    </row>
    <row r="65" spans="1:6" x14ac:dyDescent="0.25">
      <c r="A65" t="s">
        <v>12</v>
      </c>
      <c r="B65" t="s">
        <v>19</v>
      </c>
      <c r="C65" t="s">
        <v>13</v>
      </c>
      <c r="D65">
        <v>0</v>
      </c>
      <c r="E65">
        <v>0</v>
      </c>
      <c r="F65">
        <f>20/(10^(-4)*0.01)</f>
        <v>19999999.999999996</v>
      </c>
    </row>
    <row r="66" spans="1:6" x14ac:dyDescent="0.25">
      <c r="A66" t="s">
        <v>3</v>
      </c>
      <c r="B66" t="s">
        <v>20</v>
      </c>
      <c r="C66" t="s">
        <v>5</v>
      </c>
      <c r="D66">
        <f>7/(10^(-5)*0.01)</f>
        <v>70000000</v>
      </c>
      <c r="E66">
        <f>13/(10^(-5)*0.01)</f>
        <v>129999999.99999999</v>
      </c>
      <c r="F66">
        <v>0</v>
      </c>
    </row>
    <row r="67" spans="1:6" x14ac:dyDescent="0.25">
      <c r="A67" t="s">
        <v>6</v>
      </c>
      <c r="B67" t="s">
        <v>20</v>
      </c>
      <c r="C67" t="s">
        <v>5</v>
      </c>
      <c r="D67">
        <f>1/(10^(-1)*0.01)</f>
        <v>1000</v>
      </c>
      <c r="E67">
        <f>36/(10^(-4)*0.01)</f>
        <v>35999999.999999993</v>
      </c>
      <c r="F67">
        <f>4/(10^(-4)*0.01)</f>
        <v>3999999.9999999995</v>
      </c>
    </row>
    <row r="68" spans="1:6" x14ac:dyDescent="0.25">
      <c r="A68" t="s">
        <v>7</v>
      </c>
      <c r="B68" t="s">
        <v>20</v>
      </c>
      <c r="C68" t="s">
        <v>5</v>
      </c>
      <c r="D68">
        <f>11/(10^(-5)*0.01)</f>
        <v>109999999.99999999</v>
      </c>
      <c r="E68">
        <f>10/(10^(-5)*0.01)</f>
        <v>99999999.999999985</v>
      </c>
      <c r="F68">
        <f>1/(10^(-4)*0.01)</f>
        <v>999999.99999999988</v>
      </c>
    </row>
    <row r="69" spans="1:6" x14ac:dyDescent="0.25">
      <c r="A69" t="s">
        <v>8</v>
      </c>
      <c r="B69" t="s">
        <v>20</v>
      </c>
      <c r="C69" t="s">
        <v>5</v>
      </c>
      <c r="D69">
        <f>30/(10^(-4)*0.01)</f>
        <v>29999999.999999996</v>
      </c>
      <c r="E69">
        <f>37/(10^(-4)*0.01)</f>
        <v>36999999.999999993</v>
      </c>
      <c r="F69">
        <f>2/(10^(-4)*0.01)</f>
        <v>1999999.9999999998</v>
      </c>
    </row>
    <row r="70" spans="1:6" x14ac:dyDescent="0.25">
      <c r="A70" t="s">
        <v>9</v>
      </c>
      <c r="B70" t="s">
        <v>20</v>
      </c>
      <c r="C70" t="s">
        <v>5</v>
      </c>
      <c r="D70">
        <f>9/(10^(-5)*0.01)</f>
        <v>89999999.999999985</v>
      </c>
      <c r="E70">
        <f>3/(10^(-5)*0.01)</f>
        <v>29999999.999999996</v>
      </c>
      <c r="F70">
        <v>0</v>
      </c>
    </row>
    <row r="71" spans="1:6" x14ac:dyDescent="0.25">
      <c r="A71" t="s">
        <v>10</v>
      </c>
      <c r="B71" t="s">
        <v>20</v>
      </c>
      <c r="C71" t="s">
        <v>5</v>
      </c>
      <c r="D71">
        <f>4/(10^(-5)*0.01)</f>
        <v>40000000</v>
      </c>
      <c r="E71">
        <f>8/(10^(-5)*0.01)</f>
        <v>80000000</v>
      </c>
      <c r="F71">
        <f>3/(10^(-5)*0.01)</f>
        <v>29999999.999999996</v>
      </c>
    </row>
    <row r="72" spans="1:6" x14ac:dyDescent="0.25">
      <c r="A72" t="s">
        <v>11</v>
      </c>
      <c r="B72" t="s">
        <v>20</v>
      </c>
      <c r="C72" t="s">
        <v>5</v>
      </c>
      <c r="D72">
        <f>5/(10^(-5)*0.01)</f>
        <v>49999999.999999993</v>
      </c>
      <c r="E72">
        <f>3/(10^(-5)*0.01)</f>
        <v>29999999.999999996</v>
      </c>
      <c r="F72">
        <v>0</v>
      </c>
    </row>
    <row r="73" spans="1:6" x14ac:dyDescent="0.25">
      <c r="A73" t="s">
        <v>12</v>
      </c>
      <c r="B73" t="s">
        <v>20</v>
      </c>
      <c r="C73" t="s">
        <v>5</v>
      </c>
      <c r="D73">
        <f>5/(10^(-5)*0.01)</f>
        <v>49999999.999999993</v>
      </c>
      <c r="E73">
        <f>22/(10^(-5)*0.01)</f>
        <v>219999999.99999997</v>
      </c>
      <c r="F73">
        <v>0</v>
      </c>
    </row>
    <row r="74" spans="1:6" x14ac:dyDescent="0.25">
      <c r="A74" t="s">
        <v>3</v>
      </c>
      <c r="B74" t="s">
        <v>20</v>
      </c>
      <c r="C74" t="s">
        <v>13</v>
      </c>
      <c r="D74">
        <v>0</v>
      </c>
      <c r="E74">
        <v>0</v>
      </c>
      <c r="F74">
        <v>0</v>
      </c>
    </row>
    <row r="75" spans="1:6" x14ac:dyDescent="0.25">
      <c r="A75" t="s">
        <v>6</v>
      </c>
      <c r="B75" t="s">
        <v>20</v>
      </c>
      <c r="C75" t="s">
        <v>13</v>
      </c>
      <c r="D75">
        <v>0</v>
      </c>
      <c r="E75">
        <v>0</v>
      </c>
      <c r="F75">
        <v>0</v>
      </c>
    </row>
    <row r="76" spans="1:6" x14ac:dyDescent="0.25">
      <c r="A76" t="s">
        <v>7</v>
      </c>
      <c r="B76" t="s">
        <v>20</v>
      </c>
      <c r="C76" t="s">
        <v>13</v>
      </c>
      <c r="D76">
        <v>0</v>
      </c>
      <c r="E76">
        <f>1/(10^(-1)*0.01)</f>
        <v>1000</v>
      </c>
      <c r="F76">
        <f>37/(10^(-2)*0.01)</f>
        <v>370000</v>
      </c>
    </row>
    <row r="77" spans="1:6" x14ac:dyDescent="0.25">
      <c r="A77" t="s">
        <v>8</v>
      </c>
      <c r="B77" t="s">
        <v>20</v>
      </c>
      <c r="C77" t="s">
        <v>13</v>
      </c>
      <c r="D77">
        <f>36/(10^(-4)*0.01)</f>
        <v>35999999.999999993</v>
      </c>
      <c r="E77">
        <v>0</v>
      </c>
      <c r="F77">
        <v>0</v>
      </c>
    </row>
    <row r="78" spans="1:6" x14ac:dyDescent="0.25">
      <c r="A78" t="s">
        <v>9</v>
      </c>
      <c r="B78" t="s">
        <v>20</v>
      </c>
      <c r="C78" t="s">
        <v>13</v>
      </c>
      <c r="D78">
        <f>5/(10^(-1)*0.01)</f>
        <v>5000</v>
      </c>
      <c r="E78">
        <f>2/(10^(-1)*0.01)</f>
        <v>2000</v>
      </c>
      <c r="F78">
        <f>66/(10^(-2)*0.01)</f>
        <v>660000</v>
      </c>
    </row>
    <row r="79" spans="1:6" x14ac:dyDescent="0.25">
      <c r="A79" t="s">
        <v>10</v>
      </c>
      <c r="B79" t="s">
        <v>20</v>
      </c>
      <c r="C79" t="s">
        <v>13</v>
      </c>
      <c r="D79">
        <v>0</v>
      </c>
      <c r="E79">
        <v>0</v>
      </c>
      <c r="F79">
        <f>27/(10^(-4)*0.01)</f>
        <v>26999999.999999996</v>
      </c>
    </row>
    <row r="80" spans="1:6" x14ac:dyDescent="0.25">
      <c r="A80" t="s">
        <v>11</v>
      </c>
      <c r="B80" t="s">
        <v>20</v>
      </c>
      <c r="C80" t="s">
        <v>13</v>
      </c>
      <c r="D80">
        <v>0</v>
      </c>
      <c r="E80">
        <v>0</v>
      </c>
      <c r="F80">
        <f>4/(10^(-4)*0.01)</f>
        <v>3999999.9999999995</v>
      </c>
    </row>
    <row r="81" spans="1:6" x14ac:dyDescent="0.25">
      <c r="A81" t="s">
        <v>12</v>
      </c>
      <c r="B81" t="s">
        <v>20</v>
      </c>
      <c r="C81" t="s">
        <v>13</v>
      </c>
      <c r="D81">
        <v>0</v>
      </c>
      <c r="E81">
        <v>0</v>
      </c>
      <c r="F81">
        <f>7/(10^(-4)*0.01)</f>
        <v>6999999.9999999991</v>
      </c>
    </row>
    <row r="82" spans="1:6" x14ac:dyDescent="0.25">
      <c r="A82" t="s">
        <v>3</v>
      </c>
      <c r="B82" t="s">
        <v>21</v>
      </c>
      <c r="C82" t="s">
        <v>5</v>
      </c>
      <c r="D82">
        <f>9/(10^(-5)*0.01)</f>
        <v>89999999.999999985</v>
      </c>
      <c r="E82">
        <f>8/(10^(-5)*0.01)</f>
        <v>80000000</v>
      </c>
      <c r="F82">
        <v>0</v>
      </c>
    </row>
    <row r="83" spans="1:6" x14ac:dyDescent="0.25">
      <c r="A83" t="s">
        <v>6</v>
      </c>
      <c r="B83" t="s">
        <v>21</v>
      </c>
      <c r="C83" t="s">
        <v>5</v>
      </c>
      <c r="D83">
        <v>0</v>
      </c>
      <c r="E83">
        <f>19/(10^(-3)*0.01)</f>
        <v>1899999.9999999998</v>
      </c>
      <c r="F83">
        <f>3/(10^(-2)*0.01)</f>
        <v>30000</v>
      </c>
    </row>
    <row r="84" spans="1:6" x14ac:dyDescent="0.25">
      <c r="A84" t="s">
        <v>7</v>
      </c>
      <c r="B84" t="s">
        <v>21</v>
      </c>
      <c r="C84" t="s">
        <v>5</v>
      </c>
      <c r="D84">
        <f>3/(10^(-5)*0.01)</f>
        <v>29999999.999999996</v>
      </c>
      <c r="E84">
        <f>8/(10^(-5)*0.01)</f>
        <v>80000000</v>
      </c>
      <c r="F84">
        <v>0</v>
      </c>
    </row>
    <row r="85" spans="1:6" x14ac:dyDescent="0.25">
      <c r="A85" t="s">
        <v>8</v>
      </c>
      <c r="B85" t="s">
        <v>21</v>
      </c>
      <c r="C85" t="s">
        <v>5</v>
      </c>
      <c r="D85">
        <f>10/(10^(-5)*0.01)</f>
        <v>99999999.999999985</v>
      </c>
      <c r="E85">
        <f>6/(10^(-5)*0.01)</f>
        <v>59999999.999999993</v>
      </c>
      <c r="F85">
        <v>0</v>
      </c>
    </row>
    <row r="86" spans="1:6" x14ac:dyDescent="0.25">
      <c r="A86" t="s">
        <v>9</v>
      </c>
      <c r="B86" t="s">
        <v>21</v>
      </c>
      <c r="C86" t="s">
        <v>5</v>
      </c>
      <c r="D86">
        <f>11/(10^(-5)*0.01)</f>
        <v>109999999.99999999</v>
      </c>
      <c r="E86">
        <f>20/(10^(-4)*0.01)</f>
        <v>19999999.999999996</v>
      </c>
      <c r="F86">
        <f>1/(10^(-4)*0.01)</f>
        <v>999999.99999999988</v>
      </c>
    </row>
    <row r="87" spans="1:6" x14ac:dyDescent="0.25">
      <c r="A87" t="s">
        <v>10</v>
      </c>
      <c r="B87" t="s">
        <v>21</v>
      </c>
      <c r="C87" t="s">
        <v>5</v>
      </c>
      <c r="D87">
        <f>2/(10^(-5)*0.01)</f>
        <v>20000000</v>
      </c>
      <c r="E87">
        <f>7/(10^(-5)*0.01)</f>
        <v>70000000</v>
      </c>
      <c r="F87">
        <f>1/(10^(-4)*0.01)</f>
        <v>999999.99999999988</v>
      </c>
    </row>
    <row r="88" spans="1:6" x14ac:dyDescent="0.25">
      <c r="A88" t="s">
        <v>11</v>
      </c>
      <c r="B88" t="s">
        <v>21</v>
      </c>
      <c r="C88" t="s">
        <v>5</v>
      </c>
      <c r="D88">
        <f>8/(10^(-4)*0.01)</f>
        <v>7999999.9999999991</v>
      </c>
      <c r="E88">
        <f>1/(10^(-4)*0.01)</f>
        <v>999999.99999999988</v>
      </c>
      <c r="F88">
        <f>1/(10^(-4)*0.01)</f>
        <v>999999.99999999988</v>
      </c>
    </row>
    <row r="89" spans="1:6" x14ac:dyDescent="0.25">
      <c r="A89" t="s">
        <v>12</v>
      </c>
      <c r="B89" t="s">
        <v>21</v>
      </c>
      <c r="C89" t="s">
        <v>5</v>
      </c>
      <c r="D89">
        <f>4/(10^(-5)*0.01)</f>
        <v>40000000</v>
      </c>
      <c r="E89">
        <f>13/(10^(-5)*0.01)</f>
        <v>129999999.99999999</v>
      </c>
      <c r="F89">
        <v>0</v>
      </c>
    </row>
    <row r="90" spans="1:6" x14ac:dyDescent="0.25">
      <c r="A90" t="s">
        <v>3</v>
      </c>
      <c r="B90" t="s">
        <v>21</v>
      </c>
      <c r="C90" t="s">
        <v>13</v>
      </c>
      <c r="D90">
        <v>0</v>
      </c>
      <c r="E90">
        <v>0</v>
      </c>
      <c r="F90">
        <v>0</v>
      </c>
    </row>
    <row r="91" spans="1:6" x14ac:dyDescent="0.25">
      <c r="A91" t="s">
        <v>6</v>
      </c>
      <c r="B91" t="s">
        <v>21</v>
      </c>
      <c r="C91" t="s">
        <v>13</v>
      </c>
      <c r="D91">
        <v>0</v>
      </c>
      <c r="E91">
        <v>0</v>
      </c>
      <c r="F91">
        <v>0</v>
      </c>
    </row>
    <row r="92" spans="1:6" x14ac:dyDescent="0.25">
      <c r="A92" t="s">
        <v>7</v>
      </c>
      <c r="B92" t="s">
        <v>21</v>
      </c>
      <c r="C92" t="s">
        <v>13</v>
      </c>
      <c r="D92">
        <v>0</v>
      </c>
      <c r="E92">
        <f>3/(10^(-1)*0.01)</f>
        <v>3000</v>
      </c>
      <c r="F92">
        <f>14/(10^(-2)*0.01)</f>
        <v>140000</v>
      </c>
    </row>
    <row r="93" spans="1:6" x14ac:dyDescent="0.25">
      <c r="A93" t="s">
        <v>8</v>
      </c>
      <c r="B93" t="s">
        <v>21</v>
      </c>
      <c r="C93" t="s">
        <v>13</v>
      </c>
      <c r="D93">
        <f>13/(10^(-5)*0.01)</f>
        <v>129999999.99999999</v>
      </c>
      <c r="E93">
        <v>0</v>
      </c>
      <c r="F93">
        <v>0</v>
      </c>
    </row>
    <row r="94" spans="1:6" x14ac:dyDescent="0.25">
      <c r="A94" t="s">
        <v>9</v>
      </c>
      <c r="B94" t="s">
        <v>21</v>
      </c>
      <c r="C94" t="s">
        <v>13</v>
      </c>
      <c r="D94">
        <f>5/(10^(-1)*0.01)</f>
        <v>5000</v>
      </c>
      <c r="E94">
        <f>3/(10^(-1)*0.01)</f>
        <v>3000</v>
      </c>
      <c r="F94">
        <f>29/(10^(-2)*0.01)</f>
        <v>290000</v>
      </c>
    </row>
    <row r="95" spans="1:6" x14ac:dyDescent="0.25">
      <c r="A95" t="s">
        <v>10</v>
      </c>
      <c r="B95" t="s">
        <v>21</v>
      </c>
      <c r="C95" t="s">
        <v>13</v>
      </c>
      <c r="D95">
        <v>0</v>
      </c>
      <c r="E95">
        <f>1/(10^(-2)*0.01)</f>
        <v>10000</v>
      </c>
      <c r="F95">
        <f>6/(10^(-4)*0.01)</f>
        <v>5999999.9999999991</v>
      </c>
    </row>
    <row r="96" spans="1:6" x14ac:dyDescent="0.25">
      <c r="A96" t="s">
        <v>11</v>
      </c>
      <c r="B96" t="s">
        <v>21</v>
      </c>
      <c r="C96" t="s">
        <v>13</v>
      </c>
      <c r="D96">
        <v>0</v>
      </c>
      <c r="E96">
        <v>0</v>
      </c>
      <c r="F96">
        <f>25/(10^(-3)*0.01)</f>
        <v>2500000</v>
      </c>
    </row>
    <row r="97" spans="1:6" x14ac:dyDescent="0.25">
      <c r="A97" t="s">
        <v>12</v>
      </c>
      <c r="B97" t="s">
        <v>21</v>
      </c>
      <c r="C97" t="s">
        <v>13</v>
      </c>
      <c r="D97">
        <v>0</v>
      </c>
      <c r="E97">
        <v>0</v>
      </c>
      <c r="F97">
        <f>17/(10^(-3)*0.01)</f>
        <v>1699999.9999999998</v>
      </c>
    </row>
    <row r="98" spans="1:6" x14ac:dyDescent="0.25">
      <c r="A98" t="s">
        <v>3</v>
      </c>
      <c r="B98" t="s">
        <v>22</v>
      </c>
      <c r="C98" t="s">
        <v>5</v>
      </c>
      <c r="D98">
        <f>5/(10^(-5)*0.01)</f>
        <v>49999999.999999993</v>
      </c>
      <c r="E98">
        <f>2/(10^(-5)*0.01)</f>
        <v>20000000</v>
      </c>
      <c r="F98">
        <v>0</v>
      </c>
    </row>
    <row r="99" spans="1:6" x14ac:dyDescent="0.25">
      <c r="A99" t="s">
        <v>6</v>
      </c>
      <c r="B99" t="s">
        <v>22</v>
      </c>
      <c r="C99" t="s">
        <v>5</v>
      </c>
      <c r="D99">
        <v>0</v>
      </c>
      <c r="E99">
        <f>7/(10^(-3)*0.01)</f>
        <v>700000</v>
      </c>
      <c r="F99">
        <v>0</v>
      </c>
    </row>
    <row r="100" spans="1:6" x14ac:dyDescent="0.25">
      <c r="A100" t="s">
        <v>7</v>
      </c>
      <c r="B100" t="s">
        <v>22</v>
      </c>
      <c r="C100" t="s">
        <v>5</v>
      </c>
      <c r="D100">
        <f>2/(10^(-5)*0.01)</f>
        <v>20000000</v>
      </c>
      <c r="E100">
        <f>6/(10^(-5)*0.01)</f>
        <v>59999999.999999993</v>
      </c>
      <c r="F100">
        <v>0</v>
      </c>
    </row>
    <row r="101" spans="1:6" x14ac:dyDescent="0.25">
      <c r="A101" t="s">
        <v>8</v>
      </c>
      <c r="B101" t="s">
        <v>22</v>
      </c>
      <c r="C101" t="s">
        <v>5</v>
      </c>
      <c r="D101">
        <f>12/(10^(-5)*0.01)</f>
        <v>119999999.99999999</v>
      </c>
      <c r="E101">
        <f>15/(10^(-5)*0.01)</f>
        <v>150000000</v>
      </c>
      <c r="F101">
        <v>0</v>
      </c>
    </row>
    <row r="102" spans="1:6" x14ac:dyDescent="0.25">
      <c r="A102" t="s">
        <v>9</v>
      </c>
      <c r="B102" t="s">
        <v>22</v>
      </c>
      <c r="C102" t="s">
        <v>5</v>
      </c>
      <c r="D102">
        <f>32/(10^(-4)*0.01)</f>
        <v>31999999.999999996</v>
      </c>
      <c r="E102">
        <f>7/(10^(-4)*0.01)</f>
        <v>6999999.9999999991</v>
      </c>
      <c r="F102">
        <v>0</v>
      </c>
    </row>
    <row r="103" spans="1:6" x14ac:dyDescent="0.25">
      <c r="A103" t="s">
        <v>10</v>
      </c>
      <c r="B103" t="s">
        <v>22</v>
      </c>
      <c r="C103" t="s">
        <v>5</v>
      </c>
      <c r="D103">
        <f>17/(10^(-4)*0.01)</f>
        <v>16999999.999999996</v>
      </c>
      <c r="E103">
        <f>5/(10^(-5)*0.01)</f>
        <v>49999999.999999993</v>
      </c>
      <c r="F103">
        <v>0</v>
      </c>
    </row>
    <row r="104" spans="1:6" x14ac:dyDescent="0.25">
      <c r="A104" t="s">
        <v>11</v>
      </c>
      <c r="B104" t="s">
        <v>22</v>
      </c>
      <c r="C104" t="s">
        <v>5</v>
      </c>
      <c r="D104">
        <f>30/(10^(-3)*0.01)</f>
        <v>2999999.9999999995</v>
      </c>
      <c r="E104">
        <f>6/(10^(-3)*0.01)</f>
        <v>600000</v>
      </c>
      <c r="F104">
        <f>2/(10^(-4)*0.01)</f>
        <v>1999999.9999999998</v>
      </c>
    </row>
    <row r="105" spans="1:6" x14ac:dyDescent="0.25">
      <c r="A105" t="s">
        <v>12</v>
      </c>
      <c r="B105" t="s">
        <v>22</v>
      </c>
      <c r="C105" t="s">
        <v>5</v>
      </c>
      <c r="D105">
        <f>6/(10^(-5)*0.01)</f>
        <v>59999999.999999993</v>
      </c>
      <c r="E105">
        <f>12/(10^(-5)*0.01)</f>
        <v>119999999.99999999</v>
      </c>
      <c r="F105">
        <f>1/(10^(-5)*0.01)</f>
        <v>10000000</v>
      </c>
    </row>
    <row r="106" spans="1:6" x14ac:dyDescent="0.25">
      <c r="A106" t="s">
        <v>3</v>
      </c>
      <c r="B106" t="s">
        <v>22</v>
      </c>
      <c r="C106" t="s">
        <v>13</v>
      </c>
      <c r="D106">
        <v>0</v>
      </c>
      <c r="E106">
        <v>0</v>
      </c>
      <c r="F106">
        <v>0</v>
      </c>
    </row>
    <row r="107" spans="1:6" x14ac:dyDescent="0.25">
      <c r="A107" t="s">
        <v>6</v>
      </c>
      <c r="B107" t="s">
        <v>22</v>
      </c>
      <c r="C107" t="s">
        <v>13</v>
      </c>
      <c r="D107">
        <v>0</v>
      </c>
      <c r="E107">
        <v>0</v>
      </c>
      <c r="F107">
        <v>0</v>
      </c>
    </row>
    <row r="108" spans="1:6" x14ac:dyDescent="0.25">
      <c r="A108" t="s">
        <v>7</v>
      </c>
      <c r="B108" t="s">
        <v>22</v>
      </c>
      <c r="C108" t="s">
        <v>13</v>
      </c>
      <c r="D108">
        <v>0</v>
      </c>
      <c r="E108">
        <f>1/(10^(-1)*0.01)</f>
        <v>1000</v>
      </c>
      <c r="F108">
        <f>20/(10^(-1)*0.01)</f>
        <v>20000</v>
      </c>
    </row>
    <row r="109" spans="1:6" x14ac:dyDescent="0.25">
      <c r="A109" t="s">
        <v>8</v>
      </c>
      <c r="B109" t="s">
        <v>22</v>
      </c>
      <c r="C109" t="s">
        <v>13</v>
      </c>
      <c r="D109">
        <f>8/(10^(-5)*0.01)</f>
        <v>80000000</v>
      </c>
      <c r="E109">
        <v>0</v>
      </c>
      <c r="F109">
        <v>0</v>
      </c>
    </row>
    <row r="110" spans="1:6" x14ac:dyDescent="0.25">
      <c r="A110" t="s">
        <v>9</v>
      </c>
      <c r="B110" t="s">
        <v>22</v>
      </c>
      <c r="C110" t="s">
        <v>13</v>
      </c>
      <c r="D110">
        <f>3/(10^(-1)*0.01)</f>
        <v>3000</v>
      </c>
      <c r="E110">
        <f>1/(10^(-1)*0.01)</f>
        <v>1000</v>
      </c>
      <c r="F110">
        <f>11/(10^(-2)*0.01)</f>
        <v>110000</v>
      </c>
    </row>
    <row r="111" spans="1:6" x14ac:dyDescent="0.25">
      <c r="A111" t="s">
        <v>10</v>
      </c>
      <c r="B111" t="s">
        <v>22</v>
      </c>
      <c r="C111" t="s">
        <v>13</v>
      </c>
      <c r="D111">
        <v>0</v>
      </c>
      <c r="E111">
        <f>1/(10^(-2)*0.01)</f>
        <v>10000</v>
      </c>
      <c r="F111">
        <f>13/(10^(-3)*0.01)</f>
        <v>1300000</v>
      </c>
    </row>
    <row r="112" spans="1:6" x14ac:dyDescent="0.25">
      <c r="A112" t="s">
        <v>11</v>
      </c>
      <c r="B112" t="s">
        <v>22</v>
      </c>
      <c r="C112" t="s">
        <v>13</v>
      </c>
      <c r="D112">
        <v>0</v>
      </c>
      <c r="E112">
        <v>0</v>
      </c>
      <c r="F112">
        <f>3/(10^(-3)*0.01)</f>
        <v>300000</v>
      </c>
    </row>
    <row r="113" spans="1:6" x14ac:dyDescent="0.25">
      <c r="A113" t="s">
        <v>12</v>
      </c>
      <c r="B113" t="s">
        <v>22</v>
      </c>
      <c r="C113" t="s">
        <v>13</v>
      </c>
      <c r="D113">
        <v>0</v>
      </c>
      <c r="E113">
        <v>0</v>
      </c>
      <c r="F113">
        <f>18/(10^(-3)*0.01)</f>
        <v>1799999.9999999998</v>
      </c>
    </row>
    <row r="114" spans="1:6" x14ac:dyDescent="0.25">
      <c r="A114" t="s">
        <v>3</v>
      </c>
      <c r="B114" t="s">
        <v>23</v>
      </c>
      <c r="C114" t="s">
        <v>5</v>
      </c>
      <c r="D114">
        <f>25/(10^(-4)*0.01)</f>
        <v>24999999.999999996</v>
      </c>
      <c r="E114">
        <f>13/(10^(-4)*0.01)</f>
        <v>12999999.999999998</v>
      </c>
      <c r="F114">
        <v>0</v>
      </c>
    </row>
    <row r="115" spans="1:6" x14ac:dyDescent="0.25">
      <c r="A115" t="s">
        <v>6</v>
      </c>
      <c r="B115" t="s">
        <v>23</v>
      </c>
      <c r="C115" t="s">
        <v>5</v>
      </c>
      <c r="D115">
        <v>0</v>
      </c>
      <c r="E115">
        <f>31/(10^(-1)*0.01)</f>
        <v>31000</v>
      </c>
      <c r="F115">
        <f>1/(10^(-1)*0.01)</f>
        <v>1000</v>
      </c>
    </row>
    <row r="116" spans="1:6" x14ac:dyDescent="0.25">
      <c r="A116" t="s">
        <v>7</v>
      </c>
      <c r="B116" t="s">
        <v>23</v>
      </c>
      <c r="C116" t="s">
        <v>5</v>
      </c>
      <c r="D116">
        <f>27/(10^(-4)*0.01)</f>
        <v>26999999.999999996</v>
      </c>
      <c r="E116">
        <f>10/(10^(-4)*0.01)</f>
        <v>9999999.9999999981</v>
      </c>
      <c r="F116">
        <v>0</v>
      </c>
    </row>
    <row r="117" spans="1:6" x14ac:dyDescent="0.25">
      <c r="A117" t="s">
        <v>8</v>
      </c>
      <c r="B117" t="s">
        <v>23</v>
      </c>
      <c r="C117" t="s">
        <v>5</v>
      </c>
      <c r="D117">
        <f>8/(10^(-5)*0.01)</f>
        <v>80000000</v>
      </c>
      <c r="E117">
        <f>8/(10^(-5)*0.01)</f>
        <v>80000000</v>
      </c>
      <c r="F117">
        <v>0</v>
      </c>
    </row>
    <row r="118" spans="1:6" x14ac:dyDescent="0.25">
      <c r="A118" t="s">
        <v>9</v>
      </c>
      <c r="B118" t="s">
        <v>23</v>
      </c>
      <c r="C118" t="s">
        <v>5</v>
      </c>
      <c r="D118">
        <f t="shared" ref="D118" si="4">25/(10^(-4)*0.01)</f>
        <v>24999999.999999996</v>
      </c>
      <c r="E118">
        <f>21/(10^(-2)*0.01)</f>
        <v>210000</v>
      </c>
      <c r="F118">
        <v>0</v>
      </c>
    </row>
    <row r="119" spans="1:6" x14ac:dyDescent="0.25">
      <c r="A119" t="s">
        <v>10</v>
      </c>
      <c r="B119" t="s">
        <v>23</v>
      </c>
      <c r="C119" t="s">
        <v>5</v>
      </c>
      <c r="D119">
        <f>9/(10^(-4)*0.01)</f>
        <v>8999999.9999999981</v>
      </c>
      <c r="E119">
        <f>7/(10^(-4)*0.01)</f>
        <v>6999999.9999999991</v>
      </c>
      <c r="F119">
        <v>0</v>
      </c>
    </row>
    <row r="120" spans="1:6" x14ac:dyDescent="0.25">
      <c r="A120" t="s">
        <v>11</v>
      </c>
      <c r="B120" t="s">
        <v>23</v>
      </c>
      <c r="C120" t="s">
        <v>5</v>
      </c>
      <c r="D120">
        <f>1/(10^(-3)*0.01)</f>
        <v>99999.999999999985</v>
      </c>
      <c r="E120">
        <f>4/(10^(-3)*0.01)</f>
        <v>399999.99999999994</v>
      </c>
      <c r="F120">
        <v>0</v>
      </c>
    </row>
    <row r="121" spans="1:6" x14ac:dyDescent="0.25">
      <c r="A121" t="s">
        <v>12</v>
      </c>
      <c r="B121" t="s">
        <v>23</v>
      </c>
      <c r="C121" t="s">
        <v>5</v>
      </c>
      <c r="D121">
        <f>8/(10^(-4)*0.01)</f>
        <v>7999999.9999999991</v>
      </c>
      <c r="E121">
        <f>48/(10^(-4)*0.01)</f>
        <v>47999999.999999993</v>
      </c>
      <c r="F121">
        <v>0</v>
      </c>
    </row>
    <row r="122" spans="1:6" x14ac:dyDescent="0.25">
      <c r="A122" t="s">
        <v>3</v>
      </c>
      <c r="B122" t="s">
        <v>23</v>
      </c>
      <c r="C122" t="s">
        <v>13</v>
      </c>
      <c r="D122">
        <v>0</v>
      </c>
      <c r="E122">
        <v>0</v>
      </c>
      <c r="F122">
        <v>0</v>
      </c>
    </row>
    <row r="123" spans="1:6" x14ac:dyDescent="0.25">
      <c r="A123" t="s">
        <v>6</v>
      </c>
      <c r="B123" t="s">
        <v>23</v>
      </c>
      <c r="C123" t="s">
        <v>13</v>
      </c>
      <c r="D123">
        <v>0</v>
      </c>
      <c r="E123">
        <v>0</v>
      </c>
      <c r="F123">
        <v>0</v>
      </c>
    </row>
    <row r="124" spans="1:6" x14ac:dyDescent="0.25">
      <c r="A124" t="s">
        <v>7</v>
      </c>
      <c r="B124" t="s">
        <v>23</v>
      </c>
      <c r="C124" t="s">
        <v>13</v>
      </c>
      <c r="D124">
        <v>0</v>
      </c>
      <c r="E124">
        <v>0</v>
      </c>
      <c r="F124">
        <f>6/(10^(-1)*0.01)</f>
        <v>6000</v>
      </c>
    </row>
    <row r="125" spans="1:6" x14ac:dyDescent="0.25">
      <c r="A125" t="s">
        <v>8</v>
      </c>
      <c r="B125" t="s">
        <v>23</v>
      </c>
      <c r="C125" t="s">
        <v>13</v>
      </c>
      <c r="D125">
        <f>13/(10^(-5)*0.01)</f>
        <v>129999999.99999999</v>
      </c>
      <c r="E125">
        <v>0</v>
      </c>
      <c r="F125">
        <v>0</v>
      </c>
    </row>
    <row r="126" spans="1:6" x14ac:dyDescent="0.25">
      <c r="A126" t="s">
        <v>9</v>
      </c>
      <c r="B126" t="s">
        <v>23</v>
      </c>
      <c r="C126" t="s">
        <v>13</v>
      </c>
      <c r="D126">
        <f>3/(10^(-1)*0.01)</f>
        <v>3000</v>
      </c>
      <c r="E126">
        <v>0</v>
      </c>
      <c r="F126">
        <f>12/(10^(-1)*0.01)</f>
        <v>12000</v>
      </c>
    </row>
    <row r="127" spans="1:6" x14ac:dyDescent="0.25">
      <c r="A127" t="s">
        <v>10</v>
      </c>
      <c r="B127" t="s">
        <v>23</v>
      </c>
      <c r="C127" t="s">
        <v>13</v>
      </c>
      <c r="D127">
        <f>17/(10^(-2)*0.01)</f>
        <v>170000</v>
      </c>
      <c r="E127">
        <v>0</v>
      </c>
      <c r="F127">
        <f>24/(10^(-2)*0.01)</f>
        <v>240000</v>
      </c>
    </row>
    <row r="128" spans="1:6" x14ac:dyDescent="0.25">
      <c r="A128" t="s">
        <v>11</v>
      </c>
      <c r="B128" t="s">
        <v>23</v>
      </c>
      <c r="C128" t="s">
        <v>13</v>
      </c>
      <c r="D128">
        <v>0</v>
      </c>
      <c r="E128">
        <v>0</v>
      </c>
      <c r="F128">
        <f>42/(10^(-1)*0.01)</f>
        <v>42000</v>
      </c>
    </row>
    <row r="129" spans="1:6" x14ac:dyDescent="0.25">
      <c r="A129" t="s">
        <v>12</v>
      </c>
      <c r="B129" t="s">
        <v>23</v>
      </c>
      <c r="C129" t="s">
        <v>13</v>
      </c>
      <c r="D129">
        <v>0</v>
      </c>
      <c r="E129">
        <v>0</v>
      </c>
      <c r="F129">
        <f>20/(10^(-2)*0.01)</f>
        <v>200000</v>
      </c>
    </row>
    <row r="130" spans="1:6" x14ac:dyDescent="0.25">
      <c r="A130" t="s">
        <v>3</v>
      </c>
      <c r="B130" t="s">
        <v>24</v>
      </c>
      <c r="C130" t="s">
        <v>5</v>
      </c>
      <c r="D130">
        <f>23/(10^(-4)*0.01)</f>
        <v>22999999.999999996</v>
      </c>
      <c r="E130">
        <f>13/(10^(-4)*0.01)</f>
        <v>12999999.999999998</v>
      </c>
      <c r="F130">
        <v>0</v>
      </c>
    </row>
    <row r="131" spans="1:6" x14ac:dyDescent="0.25">
      <c r="A131" t="s">
        <v>6</v>
      </c>
      <c r="B131" t="s">
        <v>24</v>
      </c>
      <c r="C131" t="s">
        <v>5</v>
      </c>
      <c r="D131">
        <v>0</v>
      </c>
      <c r="E131">
        <f>9/(10^(0)*0.01)</f>
        <v>900</v>
      </c>
      <c r="F131">
        <f>1/(10^(0)*0.01)</f>
        <v>100</v>
      </c>
    </row>
    <row r="132" spans="1:6" x14ac:dyDescent="0.25">
      <c r="A132" t="s">
        <v>7</v>
      </c>
      <c r="B132" t="s">
        <v>24</v>
      </c>
      <c r="C132" t="s">
        <v>5</v>
      </c>
      <c r="D132">
        <f>32/(10^(-4)*0.01)</f>
        <v>31999999.999999996</v>
      </c>
      <c r="E132">
        <f>6/(10^(-4)*0.01)</f>
        <v>5999999.9999999991</v>
      </c>
      <c r="F132">
        <f>0/(10^(-4)*0.01)</f>
        <v>0</v>
      </c>
    </row>
    <row r="133" spans="1:6" x14ac:dyDescent="0.25">
      <c r="A133" t="s">
        <v>8</v>
      </c>
      <c r="B133" t="s">
        <v>24</v>
      </c>
      <c r="C133" t="s">
        <v>5</v>
      </c>
      <c r="D133">
        <f>4/(10^(-5)*0.01)</f>
        <v>40000000</v>
      </c>
      <c r="E133">
        <f>2/(10^(-5)*0.01)</f>
        <v>20000000</v>
      </c>
      <c r="F133">
        <f>0/(10^(-4)*0.01)</f>
        <v>0</v>
      </c>
    </row>
    <row r="134" spans="1:6" x14ac:dyDescent="0.25">
      <c r="A134" t="s">
        <v>9</v>
      </c>
      <c r="B134" t="s">
        <v>24</v>
      </c>
      <c r="C134" t="s">
        <v>5</v>
      </c>
      <c r="D134">
        <f>41/(10^(-4)*0.01)</f>
        <v>40999999.999999993</v>
      </c>
      <c r="E134">
        <f t="shared" ref="E134" si="5">9/(10^(-4)*0.01)</f>
        <v>8999999.9999999981</v>
      </c>
      <c r="F134">
        <v>0</v>
      </c>
    </row>
    <row r="135" spans="1:6" x14ac:dyDescent="0.25">
      <c r="A135" t="s">
        <v>10</v>
      </c>
      <c r="B135" t="s">
        <v>24</v>
      </c>
      <c r="C135" t="s">
        <v>5</v>
      </c>
      <c r="D135">
        <f>29/(10^(-4)*0.01)</f>
        <v>28999999.999999996</v>
      </c>
      <c r="E135">
        <f>2/(10^(-4)*0.01)</f>
        <v>1999999.9999999998</v>
      </c>
      <c r="F135">
        <v>0</v>
      </c>
    </row>
    <row r="136" spans="1:6" x14ac:dyDescent="0.25">
      <c r="A136" t="s">
        <v>11</v>
      </c>
      <c r="B136" t="s">
        <v>24</v>
      </c>
      <c r="C136" t="s">
        <v>5</v>
      </c>
      <c r="D136">
        <f>3/(10^(-4)*0.01)</f>
        <v>2999999.9999999995</v>
      </c>
      <c r="E136">
        <f>7/(10^(-4)*0.01)</f>
        <v>6999999.9999999991</v>
      </c>
      <c r="F136">
        <v>0</v>
      </c>
    </row>
    <row r="137" spans="1:6" x14ac:dyDescent="0.25">
      <c r="A137" t="s">
        <v>12</v>
      </c>
      <c r="B137" t="s">
        <v>24</v>
      </c>
      <c r="C137" t="s">
        <v>5</v>
      </c>
      <c r="D137">
        <f>15/(10^(-4)*0.01)</f>
        <v>14999999.999999998</v>
      </c>
      <c r="E137">
        <f>21/(10^(-4)*0.01)</f>
        <v>20999999.999999996</v>
      </c>
      <c r="F137">
        <v>0</v>
      </c>
    </row>
    <row r="138" spans="1:6" x14ac:dyDescent="0.25">
      <c r="A138" t="s">
        <v>3</v>
      </c>
      <c r="B138" t="s">
        <v>24</v>
      </c>
      <c r="C138" t="s">
        <v>13</v>
      </c>
      <c r="D138">
        <v>0</v>
      </c>
      <c r="E138">
        <v>0</v>
      </c>
      <c r="F138">
        <v>0</v>
      </c>
    </row>
    <row r="139" spans="1:6" x14ac:dyDescent="0.25">
      <c r="A139" t="s">
        <v>6</v>
      </c>
      <c r="B139" t="s">
        <v>24</v>
      </c>
      <c r="C139" t="s">
        <v>13</v>
      </c>
      <c r="D139">
        <v>0</v>
      </c>
      <c r="E139">
        <v>0</v>
      </c>
      <c r="F139">
        <v>0</v>
      </c>
    </row>
    <row r="140" spans="1:6" x14ac:dyDescent="0.25">
      <c r="A140" t="s">
        <v>7</v>
      </c>
      <c r="B140" t="s">
        <v>24</v>
      </c>
      <c r="C140" t="s">
        <v>13</v>
      </c>
      <c r="D140">
        <f>5/(10^(0)*0.01)</f>
        <v>500</v>
      </c>
      <c r="E140">
        <f>2/(10^(0)*0.01)</f>
        <v>200</v>
      </c>
      <c r="F140">
        <f>5/(10^(-1)*0.01)</f>
        <v>5000</v>
      </c>
    </row>
    <row r="141" spans="1:6" x14ac:dyDescent="0.25">
      <c r="A141" t="s">
        <v>8</v>
      </c>
      <c r="B141" t="s">
        <v>24</v>
      </c>
      <c r="C141" t="s">
        <v>13</v>
      </c>
      <c r="D141">
        <v>0</v>
      </c>
      <c r="E141">
        <v>0</v>
      </c>
      <c r="F141">
        <f>60/(10^(-4)*0.01)</f>
        <v>59999999.999999993</v>
      </c>
    </row>
    <row r="142" spans="1:6" x14ac:dyDescent="0.25">
      <c r="A142" t="s">
        <v>9</v>
      </c>
      <c r="B142" t="s">
        <v>24</v>
      </c>
      <c r="C142" t="s">
        <v>13</v>
      </c>
      <c r="D142">
        <f>19/(10^(-1)*0.01)</f>
        <v>19000</v>
      </c>
      <c r="E142">
        <f>4/(10^(-1)*0.01)</f>
        <v>4000</v>
      </c>
      <c r="F142">
        <f>4/(10^(-1)*0.01)</f>
        <v>4000</v>
      </c>
    </row>
    <row r="143" spans="1:6" x14ac:dyDescent="0.25">
      <c r="A143" t="s">
        <v>10</v>
      </c>
      <c r="B143" t="s">
        <v>24</v>
      </c>
      <c r="C143" t="s">
        <v>13</v>
      </c>
      <c r="D143">
        <f>12/(10^(-4)*0.01)</f>
        <v>11999999.999999998</v>
      </c>
      <c r="E143">
        <v>0</v>
      </c>
      <c r="F143">
        <v>0</v>
      </c>
    </row>
    <row r="144" spans="1:6" x14ac:dyDescent="0.25">
      <c r="A144" t="s">
        <v>11</v>
      </c>
      <c r="B144" t="s">
        <v>24</v>
      </c>
      <c r="C144" t="s">
        <v>13</v>
      </c>
      <c r="D144">
        <v>0</v>
      </c>
      <c r="E144">
        <v>0</v>
      </c>
      <c r="F144">
        <f>23/(10^(-1)*0.01)</f>
        <v>23000</v>
      </c>
    </row>
    <row r="145" spans="1:6" x14ac:dyDescent="0.25">
      <c r="A145" t="s">
        <v>12</v>
      </c>
      <c r="B145" t="s">
        <v>24</v>
      </c>
      <c r="C145" t="s">
        <v>13</v>
      </c>
      <c r="D145">
        <v>0</v>
      </c>
      <c r="E145">
        <v>0</v>
      </c>
      <c r="F145">
        <f>32/(10^(-1)*0.01)</f>
        <v>32000</v>
      </c>
    </row>
    <row r="146" spans="1:6" x14ac:dyDescent="0.25">
      <c r="A146" t="s">
        <v>3</v>
      </c>
      <c r="B146" t="s">
        <v>25</v>
      </c>
      <c r="C146" t="s">
        <v>5</v>
      </c>
      <c r="D146">
        <f>17/(10^(-5)*0.01)</f>
        <v>170000000</v>
      </c>
      <c r="E146">
        <f>13/(10^(-5)*0.01)</f>
        <v>129999999.99999999</v>
      </c>
      <c r="F146">
        <v>0</v>
      </c>
    </row>
    <row r="147" spans="1:6" x14ac:dyDescent="0.25">
      <c r="A147" t="s">
        <v>6</v>
      </c>
      <c r="B147" t="s">
        <v>25</v>
      </c>
      <c r="C147" t="s">
        <v>5</v>
      </c>
      <c r="D147">
        <f>2/(10^(0)*0.01)</f>
        <v>200</v>
      </c>
      <c r="E147">
        <f>8/(10^(0)*0.01)</f>
        <v>800</v>
      </c>
      <c r="F147">
        <v>0</v>
      </c>
    </row>
    <row r="148" spans="1:6" x14ac:dyDescent="0.25">
      <c r="A148" t="s">
        <v>7</v>
      </c>
      <c r="B148" t="s">
        <v>25</v>
      </c>
      <c r="C148" t="s">
        <v>5</v>
      </c>
      <c r="D148">
        <f>17/(10^(-5)*0.01)</f>
        <v>170000000</v>
      </c>
      <c r="E148">
        <f>7/(10^(-5)*0.01)</f>
        <v>70000000</v>
      </c>
      <c r="F148">
        <v>0</v>
      </c>
    </row>
    <row r="149" spans="1:6" x14ac:dyDescent="0.25">
      <c r="A149" t="s">
        <v>8</v>
      </c>
      <c r="B149" t="s">
        <v>25</v>
      </c>
      <c r="C149" t="s">
        <v>5</v>
      </c>
      <c r="D149">
        <f>10/(10^(-5)*0.01)</f>
        <v>99999999.999999985</v>
      </c>
      <c r="E149">
        <f>3/(10^(-5)*0.01)</f>
        <v>29999999.999999996</v>
      </c>
      <c r="F149">
        <v>0</v>
      </c>
    </row>
    <row r="150" spans="1:6" x14ac:dyDescent="0.25">
      <c r="A150" t="s">
        <v>9</v>
      </c>
      <c r="B150" t="s">
        <v>25</v>
      </c>
      <c r="C150" t="s">
        <v>5</v>
      </c>
      <c r="D150">
        <f>10/(10^(-5)*0.01)</f>
        <v>99999999.999999985</v>
      </c>
      <c r="E150">
        <f t="shared" ref="E150" si="6">4/(10^(-5)*0.01)</f>
        <v>40000000</v>
      </c>
      <c r="F150">
        <v>0</v>
      </c>
    </row>
    <row r="151" spans="1:6" x14ac:dyDescent="0.25">
      <c r="A151" t="s">
        <v>10</v>
      </c>
      <c r="B151" t="s">
        <v>25</v>
      </c>
      <c r="C151" t="s">
        <v>5</v>
      </c>
      <c r="D151">
        <f>15/(10^(-5)*0.01)</f>
        <v>150000000</v>
      </c>
      <c r="E151">
        <f>14/(10^(-5)*0.01)</f>
        <v>140000000</v>
      </c>
      <c r="F151">
        <v>1</v>
      </c>
    </row>
    <row r="152" spans="1:6" x14ac:dyDescent="0.25">
      <c r="A152" t="s">
        <v>11</v>
      </c>
      <c r="B152" t="s">
        <v>25</v>
      </c>
      <c r="C152" t="s">
        <v>5</v>
      </c>
      <c r="D152">
        <f>5/(10^(-5)*0.01)</f>
        <v>49999999.999999993</v>
      </c>
      <c r="E152">
        <f>7/(10^(-5)*0.01)</f>
        <v>70000000</v>
      </c>
      <c r="F152">
        <v>0</v>
      </c>
    </row>
    <row r="153" spans="1:6" x14ac:dyDescent="0.25">
      <c r="A153" t="s">
        <v>12</v>
      </c>
      <c r="B153" t="s">
        <v>25</v>
      </c>
      <c r="C153" t="s">
        <v>5</v>
      </c>
      <c r="D153">
        <f>10/(10^(-4)*0.01)</f>
        <v>9999999.9999999981</v>
      </c>
      <c r="E153">
        <f>11/(10^(-4)*0.01)</f>
        <v>10999999.999999998</v>
      </c>
      <c r="F153">
        <v>0</v>
      </c>
    </row>
    <row r="154" spans="1:6" x14ac:dyDescent="0.25">
      <c r="A154" t="s">
        <v>3</v>
      </c>
      <c r="B154" t="s">
        <v>25</v>
      </c>
      <c r="C154" t="s">
        <v>13</v>
      </c>
      <c r="D154">
        <v>0</v>
      </c>
      <c r="E154">
        <v>0</v>
      </c>
      <c r="F154">
        <v>0</v>
      </c>
    </row>
    <row r="155" spans="1:6" x14ac:dyDescent="0.25">
      <c r="A155" t="s">
        <v>6</v>
      </c>
      <c r="B155" t="s">
        <v>25</v>
      </c>
      <c r="C155" t="s">
        <v>13</v>
      </c>
      <c r="D155">
        <v>0</v>
      </c>
      <c r="E155">
        <v>0</v>
      </c>
      <c r="F155">
        <v>0</v>
      </c>
    </row>
    <row r="156" spans="1:6" x14ac:dyDescent="0.25">
      <c r="A156" t="s">
        <v>7</v>
      </c>
      <c r="B156" t="s">
        <v>25</v>
      </c>
      <c r="C156" t="s">
        <v>13</v>
      </c>
      <c r="D156">
        <v>0</v>
      </c>
      <c r="E156">
        <v>0</v>
      </c>
      <c r="F156">
        <f>9/(10^(-1)*0.01)</f>
        <v>9000</v>
      </c>
    </row>
    <row r="157" spans="1:6" x14ac:dyDescent="0.25">
      <c r="A157" t="s">
        <v>8</v>
      </c>
      <c r="B157" t="s">
        <v>25</v>
      </c>
      <c r="C157" t="s">
        <v>13</v>
      </c>
      <c r="D157">
        <f>12/(10^(-5)*0.01)</f>
        <v>119999999.99999999</v>
      </c>
      <c r="E157">
        <v>0</v>
      </c>
      <c r="F157">
        <v>0</v>
      </c>
    </row>
    <row r="158" spans="1:6" x14ac:dyDescent="0.25">
      <c r="A158" t="s">
        <v>9</v>
      </c>
      <c r="B158" t="s">
        <v>25</v>
      </c>
      <c r="C158" t="s">
        <v>13</v>
      </c>
      <c r="D158">
        <f>5/(10^(-2)*0.01)</f>
        <v>50000</v>
      </c>
      <c r="E158">
        <f>6/(10^(-1)*0.01)</f>
        <v>6000</v>
      </c>
      <c r="F158">
        <f>2/(10^(-2)*0.01)</f>
        <v>20000</v>
      </c>
    </row>
    <row r="159" spans="1:6" x14ac:dyDescent="0.25">
      <c r="A159" t="s">
        <v>10</v>
      </c>
      <c r="B159" t="s">
        <v>25</v>
      </c>
      <c r="C159" t="s">
        <v>13</v>
      </c>
      <c r="D159">
        <f>16/(10^(-5)*0.01)</f>
        <v>160000000</v>
      </c>
      <c r="E159">
        <v>0</v>
      </c>
      <c r="F159">
        <v>0</v>
      </c>
    </row>
    <row r="160" spans="1:6" x14ac:dyDescent="0.25">
      <c r="A160" t="s">
        <v>11</v>
      </c>
      <c r="B160" t="s">
        <v>25</v>
      </c>
      <c r="C160" t="s">
        <v>13</v>
      </c>
      <c r="D160">
        <v>0</v>
      </c>
      <c r="E160">
        <v>0</v>
      </c>
      <c r="F160">
        <f>2/(10^(-1)*0.01)</f>
        <v>2000</v>
      </c>
    </row>
    <row r="161" spans="1:6" x14ac:dyDescent="0.25">
      <c r="A161" t="s">
        <v>12</v>
      </c>
      <c r="B161" t="s">
        <v>25</v>
      </c>
      <c r="C161" t="s">
        <v>13</v>
      </c>
      <c r="D161">
        <v>0</v>
      </c>
      <c r="E161">
        <v>0</v>
      </c>
      <c r="F161">
        <f>4/(10^(-1)*0.01)</f>
        <v>4000</v>
      </c>
    </row>
    <row r="162" spans="1:6" x14ac:dyDescent="0.25">
      <c r="A162" t="s">
        <v>3</v>
      </c>
      <c r="B162" t="s">
        <v>26</v>
      </c>
      <c r="C162" t="s">
        <v>5</v>
      </c>
      <c r="D162">
        <f>5/(10^(-5)*0.01)</f>
        <v>49999999.999999993</v>
      </c>
      <c r="E162">
        <f>4/(10^(-5)*0.01)</f>
        <v>40000000</v>
      </c>
      <c r="F162">
        <v>0</v>
      </c>
    </row>
    <row r="163" spans="1:6" x14ac:dyDescent="0.25">
      <c r="A163" t="s">
        <v>6</v>
      </c>
      <c r="B163" t="s">
        <v>26</v>
      </c>
      <c r="C163" t="s">
        <v>5</v>
      </c>
      <c r="D163">
        <v>0</v>
      </c>
      <c r="E163">
        <f>5/(10^(0)*0.01)</f>
        <v>500</v>
      </c>
      <c r="F163">
        <f>8/(10^(0)*0.01)</f>
        <v>800</v>
      </c>
    </row>
    <row r="164" spans="1:6" x14ac:dyDescent="0.25">
      <c r="A164" t="s">
        <v>7</v>
      </c>
      <c r="B164" t="s">
        <v>26</v>
      </c>
      <c r="C164" t="s">
        <v>5</v>
      </c>
      <c r="D164">
        <f>6/(10^(-5)*0.01)</f>
        <v>59999999.999999993</v>
      </c>
      <c r="E164">
        <f>6/(10^(-5)*0.01)</f>
        <v>59999999.999999993</v>
      </c>
      <c r="F164">
        <v>0</v>
      </c>
    </row>
    <row r="165" spans="1:6" x14ac:dyDescent="0.25">
      <c r="A165" t="s">
        <v>8</v>
      </c>
      <c r="B165" t="s">
        <v>26</v>
      </c>
      <c r="C165" t="s">
        <v>5</v>
      </c>
      <c r="D165">
        <f>54/(10^(-4)*0.01)</f>
        <v>53999999.999999993</v>
      </c>
      <c r="E165">
        <f>9/(10^(-4)*0.01)</f>
        <v>8999999.9999999981</v>
      </c>
      <c r="F165">
        <v>0</v>
      </c>
    </row>
    <row r="166" spans="1:6" x14ac:dyDescent="0.25">
      <c r="A166" t="s">
        <v>9</v>
      </c>
      <c r="B166" t="s">
        <v>26</v>
      </c>
      <c r="C166" t="s">
        <v>5</v>
      </c>
      <c r="D166">
        <f>7/(10^(-4)*0.01)</f>
        <v>6999999.9999999991</v>
      </c>
      <c r="E166">
        <f>2/(10^(-4)*0.01)</f>
        <v>1999999.9999999998</v>
      </c>
      <c r="F166">
        <v>0</v>
      </c>
    </row>
    <row r="167" spans="1:6" x14ac:dyDescent="0.25">
      <c r="A167" t="s">
        <v>10</v>
      </c>
      <c r="B167" t="s">
        <v>26</v>
      </c>
      <c r="C167" t="s">
        <v>5</v>
      </c>
      <c r="D167">
        <f>7/(10^(-5)*0.01)</f>
        <v>70000000</v>
      </c>
      <c r="E167">
        <f>2/(10^(-5)*0.01)</f>
        <v>20000000</v>
      </c>
      <c r="F167">
        <v>0</v>
      </c>
    </row>
    <row r="168" spans="1:6" x14ac:dyDescent="0.25">
      <c r="A168" t="s">
        <v>11</v>
      </c>
      <c r="B168" t="s">
        <v>26</v>
      </c>
      <c r="C168" t="s">
        <v>5</v>
      </c>
      <c r="D168">
        <f>7/(10^(-5)*0.01)</f>
        <v>70000000</v>
      </c>
      <c r="E168">
        <f>25/(10^(-5)*0.01)</f>
        <v>249999999.99999997</v>
      </c>
      <c r="F168">
        <v>0</v>
      </c>
    </row>
    <row r="169" spans="1:6" x14ac:dyDescent="0.25">
      <c r="A169" t="s">
        <v>12</v>
      </c>
      <c r="B169" t="s">
        <v>26</v>
      </c>
      <c r="C169" t="s">
        <v>5</v>
      </c>
      <c r="D169">
        <f>3/(10^(-3)*0.01)</f>
        <v>300000</v>
      </c>
      <c r="E169">
        <f>1/(10^(-3)*0.01)</f>
        <v>99999.999999999985</v>
      </c>
      <c r="F169">
        <f>14/(10^(-2)*0.01)</f>
        <v>140000</v>
      </c>
    </row>
    <row r="170" spans="1:6" x14ac:dyDescent="0.25">
      <c r="A170" t="s">
        <v>3</v>
      </c>
      <c r="B170" t="s">
        <v>26</v>
      </c>
      <c r="C170" t="s">
        <v>13</v>
      </c>
      <c r="D170">
        <v>0</v>
      </c>
      <c r="E170">
        <v>0</v>
      </c>
      <c r="F170">
        <v>0</v>
      </c>
    </row>
    <row r="171" spans="1:6" x14ac:dyDescent="0.25">
      <c r="A171" t="s">
        <v>6</v>
      </c>
      <c r="B171" t="s">
        <v>26</v>
      </c>
      <c r="C171" t="s">
        <v>13</v>
      </c>
      <c r="D171">
        <v>0</v>
      </c>
      <c r="E171">
        <v>0</v>
      </c>
      <c r="F171">
        <v>0</v>
      </c>
    </row>
    <row r="172" spans="1:6" x14ac:dyDescent="0.25">
      <c r="A172" t="s">
        <v>7</v>
      </c>
      <c r="B172" t="s">
        <v>26</v>
      </c>
      <c r="C172" t="s">
        <v>13</v>
      </c>
      <c r="D172">
        <v>0</v>
      </c>
      <c r="E172">
        <v>0</v>
      </c>
      <c r="F172">
        <f>2/(10^(-1)*0.01)</f>
        <v>2000</v>
      </c>
    </row>
    <row r="173" spans="1:6" x14ac:dyDescent="0.25">
      <c r="A173" t="s">
        <v>8</v>
      </c>
      <c r="B173" t="s">
        <v>26</v>
      </c>
      <c r="C173" t="s">
        <v>13</v>
      </c>
      <c r="D173">
        <f>62/(10^(-4)*0.01)</f>
        <v>61999999.999999993</v>
      </c>
      <c r="E173">
        <v>0</v>
      </c>
      <c r="F173">
        <v>0</v>
      </c>
    </row>
    <row r="174" spans="1:6" x14ac:dyDescent="0.25">
      <c r="A174" t="s">
        <v>9</v>
      </c>
      <c r="B174" t="s">
        <v>26</v>
      </c>
      <c r="C174" t="s">
        <v>13</v>
      </c>
      <c r="D174">
        <f>3/(10^(-1)*0.01)</f>
        <v>3000</v>
      </c>
      <c r="E174">
        <v>0</v>
      </c>
      <c r="F174">
        <f>2/(10^(-1)*0.01)</f>
        <v>2000</v>
      </c>
    </row>
    <row r="175" spans="1:6" x14ac:dyDescent="0.25">
      <c r="A175" t="s">
        <v>10</v>
      </c>
      <c r="B175" t="s">
        <v>26</v>
      </c>
      <c r="C175" t="s">
        <v>13</v>
      </c>
      <c r="D175">
        <f>57/(10^(-4)*0.01)</f>
        <v>56999999.999999993</v>
      </c>
      <c r="E175">
        <v>0</v>
      </c>
      <c r="F175">
        <v>0</v>
      </c>
    </row>
    <row r="176" spans="1:6" x14ac:dyDescent="0.25">
      <c r="A176" t="s">
        <v>11</v>
      </c>
      <c r="B176" t="s">
        <v>26</v>
      </c>
      <c r="C176" t="s">
        <v>13</v>
      </c>
      <c r="D176">
        <v>0</v>
      </c>
      <c r="E176">
        <v>0</v>
      </c>
      <c r="F176">
        <f>2/(10^(-1)*0.01)</f>
        <v>2000</v>
      </c>
    </row>
    <row r="177" spans="1:6" x14ac:dyDescent="0.25">
      <c r="A177" t="s">
        <v>12</v>
      </c>
      <c r="B177" t="s">
        <v>26</v>
      </c>
      <c r="C177" t="s">
        <v>13</v>
      </c>
      <c r="D177">
        <v>0</v>
      </c>
      <c r="E177">
        <v>0</v>
      </c>
      <c r="F177">
        <f>2/(10^(-1)*0.01)</f>
        <v>2000</v>
      </c>
    </row>
    <row r="178" spans="1:6" x14ac:dyDescent="0.25">
      <c r="A178" t="s">
        <v>3</v>
      </c>
      <c r="B178" t="s">
        <v>27</v>
      </c>
      <c r="C178" t="s">
        <v>5</v>
      </c>
      <c r="D178">
        <f>62/(10^(-4)*0.01)</f>
        <v>61999999.999999993</v>
      </c>
      <c r="E178">
        <f>23/(10^(-4)*0.01)</f>
        <v>22999999.999999996</v>
      </c>
      <c r="F178">
        <v>0</v>
      </c>
    </row>
    <row r="179" spans="1:6" x14ac:dyDescent="0.25">
      <c r="A179" t="s">
        <v>6</v>
      </c>
      <c r="B179" t="s">
        <v>27</v>
      </c>
      <c r="C179" t="s">
        <v>5</v>
      </c>
      <c r="D179">
        <v>0</v>
      </c>
      <c r="E179">
        <f>6/(10^(0)*0.01)</f>
        <v>600</v>
      </c>
      <c r="F179">
        <v>0</v>
      </c>
    </row>
    <row r="180" spans="1:6" x14ac:dyDescent="0.25">
      <c r="A180" t="s">
        <v>7</v>
      </c>
      <c r="B180" t="s">
        <v>27</v>
      </c>
      <c r="C180" t="s">
        <v>5</v>
      </c>
      <c r="D180">
        <f>59/(10^(-4)*0.01)</f>
        <v>58999999.999999993</v>
      </c>
      <c r="E180">
        <f>14/(10^(-4)*0.01)</f>
        <v>13999999.999999998</v>
      </c>
      <c r="F180">
        <v>0</v>
      </c>
    </row>
    <row r="181" spans="1:6" x14ac:dyDescent="0.25">
      <c r="A181" t="s">
        <v>8</v>
      </c>
      <c r="B181" t="s">
        <v>27</v>
      </c>
      <c r="C181" t="s">
        <v>5</v>
      </c>
      <c r="D181">
        <f>22/(10^(-4)*0.01)</f>
        <v>21999999.999999996</v>
      </c>
      <c r="E181">
        <f t="shared" ref="E178:F193" si="7">7/(10^(-4)*0.01)</f>
        <v>6999999.9999999991</v>
      </c>
      <c r="F181">
        <v>0</v>
      </c>
    </row>
    <row r="182" spans="1:6" x14ac:dyDescent="0.25">
      <c r="A182" t="s">
        <v>9</v>
      </c>
      <c r="B182" t="s">
        <v>27</v>
      </c>
      <c r="C182" t="s">
        <v>5</v>
      </c>
      <c r="D182">
        <f>13/(10^(-4)*0.01)</f>
        <v>12999999.999999998</v>
      </c>
      <c r="E182">
        <f>11/(10^(-4)*0.01)</f>
        <v>10999999.999999998</v>
      </c>
      <c r="F182">
        <v>0</v>
      </c>
    </row>
    <row r="183" spans="1:6" x14ac:dyDescent="0.25">
      <c r="A183" t="s">
        <v>10</v>
      </c>
      <c r="B183" t="s">
        <v>27</v>
      </c>
      <c r="C183" t="s">
        <v>5</v>
      </c>
      <c r="D183">
        <f>63/(10^(-4)*0.01)</f>
        <v>62999999.999999993</v>
      </c>
      <c r="E183">
        <f>36/(10^(-4)*0.01)</f>
        <v>35999999.999999993</v>
      </c>
      <c r="F183">
        <v>0</v>
      </c>
    </row>
    <row r="184" spans="1:6" x14ac:dyDescent="0.25">
      <c r="A184" t="s">
        <v>11</v>
      </c>
      <c r="B184" t="s">
        <v>27</v>
      </c>
      <c r="C184" t="s">
        <v>5</v>
      </c>
      <c r="D184">
        <f>2/(10^(-4)*0.01)</f>
        <v>1999999.9999999998</v>
      </c>
      <c r="E184">
        <f>9/(10^(-5)*0.01)</f>
        <v>89999999.999999985</v>
      </c>
      <c r="F184">
        <f>3/(10^(-4)*0.01)</f>
        <v>2999999.9999999995</v>
      </c>
    </row>
    <row r="185" spans="1:6" x14ac:dyDescent="0.25">
      <c r="A185" t="s">
        <v>12</v>
      </c>
      <c r="B185" t="s">
        <v>27</v>
      </c>
      <c r="C185" t="s">
        <v>5</v>
      </c>
      <c r="D185">
        <f>4/(10^(-1)*0.01)</f>
        <v>4000</v>
      </c>
      <c r="E185">
        <f>5/(10^(-1)*0.01)</f>
        <v>5000</v>
      </c>
      <c r="F185">
        <f>5/(10^(-1)*0.01)</f>
        <v>5000</v>
      </c>
    </row>
    <row r="186" spans="1:6" x14ac:dyDescent="0.25">
      <c r="A186" t="s">
        <v>3</v>
      </c>
      <c r="B186" t="s">
        <v>27</v>
      </c>
      <c r="C186" t="s">
        <v>13</v>
      </c>
      <c r="D186">
        <v>0</v>
      </c>
      <c r="E186">
        <v>0</v>
      </c>
      <c r="F186">
        <v>0</v>
      </c>
    </row>
    <row r="187" spans="1:6" x14ac:dyDescent="0.25">
      <c r="A187" t="s">
        <v>6</v>
      </c>
      <c r="B187" t="s">
        <v>27</v>
      </c>
      <c r="C187" t="s">
        <v>13</v>
      </c>
      <c r="D187">
        <v>0</v>
      </c>
      <c r="E187">
        <v>0</v>
      </c>
      <c r="F187">
        <v>0</v>
      </c>
    </row>
    <row r="188" spans="1:6" x14ac:dyDescent="0.25">
      <c r="A188" t="s">
        <v>7</v>
      </c>
      <c r="B188" t="s">
        <v>27</v>
      </c>
      <c r="C188" t="s">
        <v>13</v>
      </c>
      <c r="D188">
        <v>0</v>
      </c>
      <c r="E188">
        <f>1/(10^(0)*0.01)</f>
        <v>100</v>
      </c>
      <c r="F188">
        <f>7/(10^(0)*0.01)</f>
        <v>700</v>
      </c>
    </row>
    <row r="189" spans="1:6" x14ac:dyDescent="0.25">
      <c r="A189" t="s">
        <v>8</v>
      </c>
      <c r="B189" t="s">
        <v>27</v>
      </c>
      <c r="C189" t="s">
        <v>13</v>
      </c>
      <c r="D189">
        <f>28/(10^(-4)*0.01)</f>
        <v>27999999.999999996</v>
      </c>
      <c r="E189">
        <f>3/(10^(-2)*0.01)</f>
        <v>30000</v>
      </c>
      <c r="F189">
        <v>0</v>
      </c>
    </row>
    <row r="190" spans="1:6" x14ac:dyDescent="0.25">
      <c r="A190" t="s">
        <v>9</v>
      </c>
      <c r="B190" t="s">
        <v>27</v>
      </c>
      <c r="C190" t="s">
        <v>13</v>
      </c>
      <c r="D190">
        <f>4/(10^(-1)*0.01)</f>
        <v>4000</v>
      </c>
      <c r="E190">
        <v>0</v>
      </c>
      <c r="F190">
        <f>5/(10^(-1)*0.01)</f>
        <v>5000</v>
      </c>
    </row>
    <row r="191" spans="1:6" x14ac:dyDescent="0.25">
      <c r="A191" t="s">
        <v>10</v>
      </c>
      <c r="B191" t="s">
        <v>27</v>
      </c>
      <c r="C191" t="s">
        <v>13</v>
      </c>
      <c r="D191">
        <f>42/(10^(-4)*0.01)</f>
        <v>41999999.999999993</v>
      </c>
      <c r="E191">
        <v>0</v>
      </c>
      <c r="F191">
        <v>0</v>
      </c>
    </row>
    <row r="192" spans="1:6" x14ac:dyDescent="0.25">
      <c r="A192" t="s">
        <v>11</v>
      </c>
      <c r="B192" t="s">
        <v>27</v>
      </c>
      <c r="C192" t="s">
        <v>13</v>
      </c>
      <c r="D192">
        <v>0</v>
      </c>
      <c r="E192">
        <v>0</v>
      </c>
      <c r="F192">
        <v>0</v>
      </c>
    </row>
    <row r="193" spans="1:6" x14ac:dyDescent="0.25">
      <c r="A193" t="s">
        <v>12</v>
      </c>
      <c r="B193" t="s">
        <v>27</v>
      </c>
      <c r="C193" t="s">
        <v>13</v>
      </c>
      <c r="D193">
        <v>0</v>
      </c>
      <c r="E193">
        <v>0</v>
      </c>
      <c r="F193">
        <f>15/(10^(0)*0.01)</f>
        <v>1500</v>
      </c>
    </row>
    <row r="194" spans="1:6" x14ac:dyDescent="0.25">
      <c r="A194" t="s">
        <v>3</v>
      </c>
      <c r="B194" t="s">
        <v>28</v>
      </c>
      <c r="C194" t="s">
        <v>5</v>
      </c>
      <c r="D194">
        <f>37/(10^(-4)*0.01)</f>
        <v>36999999.999999993</v>
      </c>
      <c r="E194">
        <f>18/(10^(-4)*0.01)</f>
        <v>17999999.999999996</v>
      </c>
      <c r="F194">
        <v>0</v>
      </c>
    </row>
    <row r="195" spans="1:6" x14ac:dyDescent="0.25">
      <c r="A195" t="s">
        <v>6</v>
      </c>
      <c r="B195" t="s">
        <v>28</v>
      </c>
      <c r="C195" t="s">
        <v>5</v>
      </c>
      <c r="D195">
        <v>0</v>
      </c>
      <c r="E195">
        <f>2/(10^(0)*0.01)</f>
        <v>200</v>
      </c>
      <c r="F195">
        <f>2/(10^(0)*0.01)</f>
        <v>200</v>
      </c>
    </row>
    <row r="196" spans="1:6" x14ac:dyDescent="0.25">
      <c r="A196" t="s">
        <v>7</v>
      </c>
      <c r="B196" t="s">
        <v>28</v>
      </c>
      <c r="C196" t="s">
        <v>5</v>
      </c>
      <c r="D196">
        <f>26/(10^(-4)*0.01)</f>
        <v>25999999.999999996</v>
      </c>
      <c r="E196">
        <f>12/(10^(-4)*0.01)</f>
        <v>11999999.999999998</v>
      </c>
      <c r="F196">
        <v>0</v>
      </c>
    </row>
    <row r="197" spans="1:6" x14ac:dyDescent="0.25">
      <c r="A197" t="s">
        <v>8</v>
      </c>
      <c r="B197" t="s">
        <v>28</v>
      </c>
      <c r="C197" t="s">
        <v>5</v>
      </c>
      <c r="D197">
        <f>10/(10^(-4)*0.01)</f>
        <v>9999999.9999999981</v>
      </c>
      <c r="E197">
        <f>4/(10^(-3)*0.01)</f>
        <v>399999.99999999994</v>
      </c>
      <c r="F197">
        <v>0</v>
      </c>
    </row>
    <row r="198" spans="1:6" x14ac:dyDescent="0.25">
      <c r="A198" t="s">
        <v>9</v>
      </c>
      <c r="B198" t="s">
        <v>28</v>
      </c>
      <c r="C198" t="s">
        <v>5</v>
      </c>
      <c r="D198">
        <f>45/(10^(-3)*0.01)</f>
        <v>4500000</v>
      </c>
      <c r="E198">
        <f>9/(10^(-3)*0.01)</f>
        <v>899999.99999999988</v>
      </c>
      <c r="F198">
        <f>1/(10^(-3)*0.01)</f>
        <v>99999.999999999985</v>
      </c>
    </row>
    <row r="199" spans="1:6" x14ac:dyDescent="0.25">
      <c r="A199" t="s">
        <v>10</v>
      </c>
      <c r="B199" t="s">
        <v>28</v>
      </c>
      <c r="C199" t="s">
        <v>5</v>
      </c>
      <c r="D199">
        <f>29/(10^(-4)*0.01)</f>
        <v>28999999.999999996</v>
      </c>
      <c r="E199">
        <f>9/(10^(-4)*0.01)</f>
        <v>8999999.9999999981</v>
      </c>
      <c r="F199">
        <v>0</v>
      </c>
    </row>
    <row r="200" spans="1:6" x14ac:dyDescent="0.25">
      <c r="A200" t="s">
        <v>11</v>
      </c>
      <c r="B200" t="s">
        <v>28</v>
      </c>
      <c r="C200" t="s">
        <v>5</v>
      </c>
      <c r="D200">
        <f>3/(10^(-4)*0.01)</f>
        <v>2999999.9999999995</v>
      </c>
      <c r="E200">
        <f>14/(10^(-5)*0.01)</f>
        <v>140000000</v>
      </c>
      <c r="F200">
        <v>0</v>
      </c>
    </row>
    <row r="201" spans="1:6" x14ac:dyDescent="0.25">
      <c r="A201" t="s">
        <v>12</v>
      </c>
      <c r="B201" t="s">
        <v>28</v>
      </c>
      <c r="C201" t="s">
        <v>5</v>
      </c>
      <c r="D201">
        <f>7/(10^(0)*0.01)</f>
        <v>700</v>
      </c>
      <c r="E201">
        <f>24/(10^(0)*0.01)</f>
        <v>2400</v>
      </c>
      <c r="F201">
        <f t="shared" ref="E201:F201" si="8">7/(10^(0)*0.01)</f>
        <v>700</v>
      </c>
    </row>
    <row r="202" spans="1:6" x14ac:dyDescent="0.25">
      <c r="A202" t="s">
        <v>3</v>
      </c>
      <c r="B202" t="s">
        <v>28</v>
      </c>
      <c r="C202" t="s">
        <v>13</v>
      </c>
      <c r="D202">
        <v>0</v>
      </c>
      <c r="E202">
        <v>0</v>
      </c>
      <c r="F202">
        <v>0</v>
      </c>
    </row>
    <row r="203" spans="1:6" x14ac:dyDescent="0.25">
      <c r="A203" t="s">
        <v>6</v>
      </c>
      <c r="B203" t="s">
        <v>28</v>
      </c>
      <c r="C203" t="s">
        <v>13</v>
      </c>
      <c r="D203">
        <v>0</v>
      </c>
      <c r="E203">
        <v>0</v>
      </c>
      <c r="F203">
        <v>0</v>
      </c>
    </row>
    <row r="204" spans="1:6" x14ac:dyDescent="0.25">
      <c r="A204" t="s">
        <v>7</v>
      </c>
      <c r="B204" t="s">
        <v>28</v>
      </c>
      <c r="C204" t="s">
        <v>13</v>
      </c>
      <c r="D204">
        <f>2/(10^(0)*0.01)</f>
        <v>200</v>
      </c>
      <c r="E204">
        <f>1/(10^(0)*0.01)</f>
        <v>100</v>
      </c>
      <c r="F204">
        <f>5/(10^(0)*0.01)</f>
        <v>500</v>
      </c>
    </row>
    <row r="205" spans="1:6" x14ac:dyDescent="0.25">
      <c r="A205" t="s">
        <v>8</v>
      </c>
      <c r="B205" t="s">
        <v>28</v>
      </c>
      <c r="C205" t="s">
        <v>13</v>
      </c>
      <c r="D205">
        <f>9/(10^(-4)*0.01)</f>
        <v>8999999.9999999981</v>
      </c>
      <c r="E205">
        <f>19/(10^(-1)*0.01)</f>
        <v>19000</v>
      </c>
      <c r="F205">
        <v>0</v>
      </c>
    </row>
    <row r="206" spans="1:6" x14ac:dyDescent="0.25">
      <c r="A206" t="s">
        <v>9</v>
      </c>
      <c r="B206" t="s">
        <v>28</v>
      </c>
      <c r="C206" t="s">
        <v>13</v>
      </c>
      <c r="D206">
        <f>2/(10^(0)*0.01)</f>
        <v>200</v>
      </c>
      <c r="E206">
        <v>0</v>
      </c>
      <c r="F206">
        <f>18/(10^(0)*0.01)</f>
        <v>1800</v>
      </c>
    </row>
    <row r="207" spans="1:6" x14ac:dyDescent="0.25">
      <c r="A207" t="s">
        <v>10</v>
      </c>
      <c r="B207" t="s">
        <v>28</v>
      </c>
      <c r="C207" t="s">
        <v>13</v>
      </c>
      <c r="D207">
        <f>21/(10^(-4)*0.01)</f>
        <v>20999999.999999996</v>
      </c>
      <c r="E207">
        <f>1/(10^(-3)*0.01)</f>
        <v>99999.999999999985</v>
      </c>
      <c r="F207">
        <v>0</v>
      </c>
    </row>
    <row r="208" spans="1:6" x14ac:dyDescent="0.25">
      <c r="A208" t="s">
        <v>11</v>
      </c>
      <c r="B208" t="s">
        <v>28</v>
      </c>
      <c r="C208" t="s">
        <v>13</v>
      </c>
      <c r="D208">
        <v>0</v>
      </c>
      <c r="E208">
        <v>0</v>
      </c>
      <c r="F208">
        <f>1/(10^(0)*0.01)</f>
        <v>100</v>
      </c>
    </row>
    <row r="209" spans="1:6" x14ac:dyDescent="0.25">
      <c r="A209" t="s">
        <v>12</v>
      </c>
      <c r="B209" t="s">
        <v>28</v>
      </c>
      <c r="C209" t="s">
        <v>13</v>
      </c>
      <c r="D209">
        <v>0</v>
      </c>
      <c r="E209">
        <v>0</v>
      </c>
      <c r="F209">
        <f>9/(10^(0)*0.01)</f>
        <v>900</v>
      </c>
    </row>
    <row r="210" spans="1:6" x14ac:dyDescent="0.25">
      <c r="A210" t="s">
        <v>3</v>
      </c>
      <c r="B210" t="s">
        <v>29</v>
      </c>
      <c r="C210" t="s">
        <v>5</v>
      </c>
      <c r="D210">
        <f>25/(10^(-4)*0.01)</f>
        <v>24999999.999999996</v>
      </c>
      <c r="E210">
        <f>7/(10^(-4)*0.01)</f>
        <v>6999999.9999999991</v>
      </c>
      <c r="F210">
        <v>0</v>
      </c>
    </row>
    <row r="211" spans="1:6" x14ac:dyDescent="0.25">
      <c r="A211" t="s">
        <v>6</v>
      </c>
      <c r="B211" t="s">
        <v>29</v>
      </c>
      <c r="C211" t="s">
        <v>5</v>
      </c>
      <c r="D211">
        <v>0</v>
      </c>
      <c r="E211">
        <f>2/(10^(0)*0.01)</f>
        <v>200</v>
      </c>
      <c r="F211">
        <f>1/(10^(0)*0.01)</f>
        <v>100</v>
      </c>
    </row>
    <row r="212" spans="1:6" x14ac:dyDescent="0.25">
      <c r="A212" t="s">
        <v>7</v>
      </c>
      <c r="B212" t="s">
        <v>29</v>
      </c>
      <c r="C212" t="s">
        <v>5</v>
      </c>
      <c r="D212">
        <f>7/(10^(-4)*0.01)</f>
        <v>6999999.9999999991</v>
      </c>
      <c r="E212">
        <f>2/(10^(-4)*0.01)</f>
        <v>1999999.9999999998</v>
      </c>
      <c r="F212">
        <v>0</v>
      </c>
    </row>
    <row r="213" spans="1:6" x14ac:dyDescent="0.25">
      <c r="A213" t="s">
        <v>8</v>
      </c>
      <c r="B213" t="s">
        <v>29</v>
      </c>
      <c r="C213" t="s">
        <v>5</v>
      </c>
      <c r="D213">
        <f>29/(10^(-4)*0.01)</f>
        <v>28999999.999999996</v>
      </c>
      <c r="E213">
        <f>3/(10^(-3)*0.01)</f>
        <v>300000</v>
      </c>
      <c r="F213">
        <v>0</v>
      </c>
    </row>
    <row r="214" spans="1:6" x14ac:dyDescent="0.25">
      <c r="A214" t="s">
        <v>9</v>
      </c>
      <c r="B214" t="s">
        <v>29</v>
      </c>
      <c r="C214" t="s">
        <v>5</v>
      </c>
      <c r="D214">
        <f>1/(10^(-5)*0.01)</f>
        <v>10000000</v>
      </c>
      <c r="E214">
        <f>4/(10^(-5)*0.01)</f>
        <v>40000000</v>
      </c>
      <c r="F214">
        <v>0</v>
      </c>
    </row>
    <row r="215" spans="1:6" x14ac:dyDescent="0.25">
      <c r="A215" t="s">
        <v>10</v>
      </c>
      <c r="B215" t="s">
        <v>29</v>
      </c>
      <c r="C215" t="s">
        <v>5</v>
      </c>
      <c r="D215">
        <f>38/(10^(-4)*0.01)</f>
        <v>37999999.999999993</v>
      </c>
      <c r="E215">
        <f>3/(10^(-3)*0.01)</f>
        <v>300000</v>
      </c>
      <c r="F215">
        <v>0</v>
      </c>
    </row>
    <row r="216" spans="1:6" x14ac:dyDescent="0.25">
      <c r="A216" t="s">
        <v>11</v>
      </c>
      <c r="B216" t="s">
        <v>29</v>
      </c>
      <c r="C216" t="s">
        <v>5</v>
      </c>
      <c r="D216">
        <v>0</v>
      </c>
      <c r="E216">
        <f>47/(10^(-4)*0.01)</f>
        <v>46999999.999999993</v>
      </c>
      <c r="F216">
        <v>0</v>
      </c>
    </row>
    <row r="217" spans="1:6" x14ac:dyDescent="0.25">
      <c r="A217" t="s">
        <v>12</v>
      </c>
      <c r="B217" t="s">
        <v>29</v>
      </c>
      <c r="C217" t="s">
        <v>5</v>
      </c>
      <c r="D217">
        <f>3/(10^(0)*0.01)</f>
        <v>300</v>
      </c>
      <c r="E217">
        <f>27/(10^(0)*0.01)</f>
        <v>2700</v>
      </c>
      <c r="F217">
        <f>4/(10^(0)*0.01)</f>
        <v>400</v>
      </c>
    </row>
    <row r="218" spans="1:6" x14ac:dyDescent="0.25">
      <c r="A218" t="s">
        <v>3</v>
      </c>
      <c r="B218" t="s">
        <v>29</v>
      </c>
      <c r="C218" t="s">
        <v>13</v>
      </c>
      <c r="D218">
        <v>0</v>
      </c>
      <c r="E218">
        <v>0</v>
      </c>
      <c r="F218">
        <v>0</v>
      </c>
    </row>
    <row r="219" spans="1:6" x14ac:dyDescent="0.25">
      <c r="A219" t="s">
        <v>6</v>
      </c>
      <c r="B219" t="s">
        <v>29</v>
      </c>
      <c r="C219" t="s">
        <v>13</v>
      </c>
      <c r="D219">
        <v>0</v>
      </c>
      <c r="E219">
        <v>0</v>
      </c>
      <c r="F219">
        <v>0</v>
      </c>
    </row>
    <row r="220" spans="1:6" x14ac:dyDescent="0.25">
      <c r="A220" t="s">
        <v>7</v>
      </c>
      <c r="B220" t="s">
        <v>29</v>
      </c>
      <c r="C220" t="s">
        <v>13</v>
      </c>
      <c r="D220">
        <v>0</v>
      </c>
      <c r="E220">
        <v>0</v>
      </c>
      <c r="F220">
        <v>0</v>
      </c>
    </row>
    <row r="221" spans="1:6" x14ac:dyDescent="0.25">
      <c r="A221" t="s">
        <v>8</v>
      </c>
      <c r="B221" t="s">
        <v>29</v>
      </c>
      <c r="C221" t="s">
        <v>13</v>
      </c>
      <c r="D221">
        <f>4/(10^(-4)*0.01)</f>
        <v>3999999.9999999995</v>
      </c>
      <c r="E221">
        <f>2/(10^(-3)*0.01)</f>
        <v>199999.99999999997</v>
      </c>
      <c r="F221">
        <v>0</v>
      </c>
    </row>
    <row r="222" spans="1:6" x14ac:dyDescent="0.25">
      <c r="A222" t="s">
        <v>9</v>
      </c>
      <c r="B222" t="s">
        <v>29</v>
      </c>
      <c r="C222" t="s">
        <v>13</v>
      </c>
      <c r="D222">
        <f>1/(10^(0)*0.01)</f>
        <v>100</v>
      </c>
      <c r="E222">
        <f>7/(10^(0)*0.01)</f>
        <v>700</v>
      </c>
      <c r="F222">
        <f>7/(10^(0)*0.01)</f>
        <v>700</v>
      </c>
    </row>
    <row r="223" spans="1:6" x14ac:dyDescent="0.25">
      <c r="A223" t="s">
        <v>10</v>
      </c>
      <c r="B223" t="s">
        <v>29</v>
      </c>
      <c r="C223" t="s">
        <v>13</v>
      </c>
      <c r="D223">
        <f>46/(10^(-4)*0.01)</f>
        <v>45999999.999999993</v>
      </c>
      <c r="E223">
        <f>2/(10^(-2)*0.01)</f>
        <v>20000</v>
      </c>
      <c r="F223">
        <v>0</v>
      </c>
    </row>
    <row r="224" spans="1:6" x14ac:dyDescent="0.25">
      <c r="A224" t="s">
        <v>11</v>
      </c>
      <c r="B224" t="s">
        <v>29</v>
      </c>
      <c r="C224" t="s">
        <v>13</v>
      </c>
      <c r="D224">
        <v>0</v>
      </c>
      <c r="E224">
        <v>0</v>
      </c>
      <c r="F224">
        <v>0</v>
      </c>
    </row>
    <row r="225" spans="1:6" x14ac:dyDescent="0.25">
      <c r="A225" t="s">
        <v>12</v>
      </c>
      <c r="B225" t="s">
        <v>29</v>
      </c>
      <c r="C225" t="s">
        <v>13</v>
      </c>
      <c r="D225">
        <v>0</v>
      </c>
      <c r="E225">
        <v>0</v>
      </c>
      <c r="F22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2025-11-17T14:03:29Z</dcterms:created>
  <dcterms:modified xsi:type="dcterms:W3CDTF">2025-12-01T10:55:46Z</dcterms:modified>
</cp:coreProperties>
</file>